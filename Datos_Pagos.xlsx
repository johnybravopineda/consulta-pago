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Grupo_Pioneros\4-Programas_Python\Consulta_Nube2\"/>
    </mc:Choice>
  </mc:AlternateContent>
  <xr:revisionPtr revIDLastSave="0" documentId="13_ncr:1_{26291C0E-D4F7-4449-BEC6-E17DB044FEFC}" xr6:coauthVersionLast="47" xr6:coauthVersionMax="47" xr10:uidLastSave="{00000000-0000-0000-0000-000000000000}"/>
  <bookViews>
    <workbookView xWindow="-98" yWindow="-98" windowWidth="28996" windowHeight="17475" xr2:uid="{27EA49FF-17D2-46CF-85DB-C764D3284ABD}"/>
  </bookViews>
  <sheets>
    <sheet name="Pagos" sheetId="2" r:id="rId1"/>
    <sheet name="definicion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9" i="2" l="1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46" i="2"/>
  <c r="A47" i="2"/>
  <c r="A48" i="2"/>
  <c r="A49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<sst xmlns="http://schemas.openxmlformats.org/spreadsheetml/2006/main" count="893" uniqueCount="319">
  <si>
    <t>Proy</t>
  </si>
  <si>
    <t>Vende</t>
  </si>
  <si>
    <t>Ins. CBR</t>
  </si>
  <si>
    <t>Cuotas</t>
  </si>
  <si>
    <t>Valor Cuota</t>
  </si>
  <si>
    <t>Total Cuotas</t>
  </si>
  <si>
    <t xml:space="preserve">Nombre </t>
  </si>
  <si>
    <t>RUT</t>
  </si>
  <si>
    <t>Direccion</t>
  </si>
  <si>
    <t>Telefono</t>
  </si>
  <si>
    <t>area_oficio</t>
  </si>
  <si>
    <t>Genero</t>
  </si>
  <si>
    <t>LLL</t>
  </si>
  <si>
    <t>G-4-1</t>
  </si>
  <si>
    <t>NP</t>
  </si>
  <si>
    <t>T</t>
  </si>
  <si>
    <t>Si</t>
  </si>
  <si>
    <t>no</t>
  </si>
  <si>
    <t>Yohny Alejandro Bravo Pineda</t>
  </si>
  <si>
    <t>12.350.962-5</t>
  </si>
  <si>
    <t>Nestor Rojas Villalobos #1479, La Serena</t>
  </si>
  <si>
    <t>+569 965747493</t>
  </si>
  <si>
    <t>La Serena</t>
  </si>
  <si>
    <t>Ingeniero Civil Mina</t>
  </si>
  <si>
    <t>Divorciado</t>
  </si>
  <si>
    <t>M</t>
  </si>
  <si>
    <t>G-4-2</t>
  </si>
  <si>
    <t>G-4-3</t>
  </si>
  <si>
    <t>P</t>
  </si>
  <si>
    <t>n/a</t>
  </si>
  <si>
    <t>Maritza Margarita Juarez Peña</t>
  </si>
  <si>
    <t>16.249.347-7</t>
  </si>
  <si>
    <t>Pasaje Alisos # 758 Villa Las Brisas</t>
  </si>
  <si>
    <t>+569 49374710</t>
  </si>
  <si>
    <t>Copiapo</t>
  </si>
  <si>
    <t>Administrativa</t>
  </si>
  <si>
    <t>Soltera</t>
  </si>
  <si>
    <t>F</t>
  </si>
  <si>
    <t>G-4-4</t>
  </si>
  <si>
    <t>Francisca Lee Berrios Isamit</t>
  </si>
  <si>
    <t>19.458.731-7</t>
  </si>
  <si>
    <t>G-4-5</t>
  </si>
  <si>
    <t>Margarita Isamit Espinoza</t>
  </si>
  <si>
    <t>9.713.979-2</t>
  </si>
  <si>
    <t>Corona del Inca # 170 - Til Til Bajo</t>
  </si>
  <si>
    <t>+569 34498869</t>
  </si>
  <si>
    <t>Comerciante</t>
  </si>
  <si>
    <t>Casada</t>
  </si>
  <si>
    <t>G-4-6</t>
  </si>
  <si>
    <t>G-3-1</t>
  </si>
  <si>
    <t>Carmen Gloria Burgos</t>
  </si>
  <si>
    <t>10.308.803-8</t>
  </si>
  <si>
    <t>Segundino Perez # 3807 - Copiapo</t>
  </si>
  <si>
    <t>Profesora</t>
  </si>
  <si>
    <t>G-1-2</t>
  </si>
  <si>
    <t>C</t>
  </si>
  <si>
    <t>Jud</t>
  </si>
  <si>
    <t xml:space="preserve">Adriana Alejandra Meriño Carrasco </t>
  </si>
  <si>
    <t>12.842.062-2</t>
  </si>
  <si>
    <t>Las violetas #356 Villa el pretil</t>
  </si>
  <si>
    <t>+569 95342333</t>
  </si>
  <si>
    <t>Copiapó</t>
  </si>
  <si>
    <t xml:space="preserve">Contadora </t>
  </si>
  <si>
    <t>Soltero</t>
  </si>
  <si>
    <t>G-1-3</t>
  </si>
  <si>
    <t>Patricio Olguín Rojo</t>
  </si>
  <si>
    <t>16.773.574-6</t>
  </si>
  <si>
    <t>Casimiro domeyko 4a . Chañaral</t>
  </si>
  <si>
    <t>+569 82683823</t>
  </si>
  <si>
    <t>Chańaral</t>
  </si>
  <si>
    <t xml:space="preserve">empresario </t>
  </si>
  <si>
    <t>Modalidad</t>
  </si>
  <si>
    <t>Firma</t>
  </si>
  <si>
    <t>Valor _Escritura</t>
  </si>
  <si>
    <t>Pie_Escritura</t>
  </si>
  <si>
    <t>Fecha_Escritura</t>
  </si>
  <si>
    <t>1ra_Cuota</t>
  </si>
  <si>
    <t>G-3-4</t>
  </si>
  <si>
    <t>G-3-5</t>
  </si>
  <si>
    <t>G-1-4</t>
  </si>
  <si>
    <t>G-2-1</t>
  </si>
  <si>
    <t>Jaime Vargas y Cia Ltda</t>
  </si>
  <si>
    <t>78.863.370-k</t>
  </si>
  <si>
    <t>Av. Los Carrera # 4723 - Copiapo</t>
  </si>
  <si>
    <t>Empresario</t>
  </si>
  <si>
    <t>Benjamin Bravo Castro</t>
  </si>
  <si>
    <t>17.302.047-3</t>
  </si>
  <si>
    <t>Pje mina El Jardin # 474 Villa San Andrés - Copiapo</t>
  </si>
  <si>
    <t>Ingeniero en Prevencion de Riesgos</t>
  </si>
  <si>
    <t>Sergio Gutierrez Gutierrez</t>
  </si>
  <si>
    <t>15.399.628-8</t>
  </si>
  <si>
    <t>Socompa # 319</t>
  </si>
  <si>
    <t>G-2-2</t>
  </si>
  <si>
    <t>D</t>
  </si>
  <si>
    <t>G-2-3</t>
  </si>
  <si>
    <t>Jaime Andres Vargas Alcayaga</t>
  </si>
  <si>
    <t>10.324.345-9</t>
  </si>
  <si>
    <t>Callejon Pedro Léon Gallo #796 Villa , Los Olivos</t>
  </si>
  <si>
    <t>+569 84281577</t>
  </si>
  <si>
    <t>G-2-4</t>
  </si>
  <si>
    <t xml:space="preserve">Patricio Fernando Rojas San Franciasco </t>
  </si>
  <si>
    <t>4.837.880-3</t>
  </si>
  <si>
    <t>Nantoquita #1526 Villa manto verde, Copiapó</t>
  </si>
  <si>
    <t>+569 85163822</t>
  </si>
  <si>
    <t>Carabinero</t>
  </si>
  <si>
    <t>Casado</t>
  </si>
  <si>
    <t>G-2-5</t>
  </si>
  <si>
    <t>Katerine Lissete López Avendaño</t>
  </si>
  <si>
    <t>16.003.047-k</t>
  </si>
  <si>
    <t>Calle diego de almagro #443</t>
  </si>
  <si>
    <t>+569 56478001</t>
  </si>
  <si>
    <t>Ing. Industrial</t>
  </si>
  <si>
    <t>G-2-6</t>
  </si>
  <si>
    <t>Fernando Andres Valdes Ly</t>
  </si>
  <si>
    <t>10.958.068-6</t>
  </si>
  <si>
    <t>Julio Montt #592; Antofagasta</t>
  </si>
  <si>
    <t>+569 92169944</t>
  </si>
  <si>
    <t>Antofagasta</t>
  </si>
  <si>
    <t>Independiente</t>
  </si>
  <si>
    <t>G-1-1</t>
  </si>
  <si>
    <t>O</t>
  </si>
  <si>
    <t>Pozo</t>
  </si>
  <si>
    <t>G-3-2</t>
  </si>
  <si>
    <t>Warner Vera Zepeda</t>
  </si>
  <si>
    <t>13.016.608-3</t>
  </si>
  <si>
    <t>Carmen Vilches #698 Pobl Borgoño</t>
  </si>
  <si>
    <t>+569 50245155</t>
  </si>
  <si>
    <t>Empleado</t>
  </si>
  <si>
    <t>G-3-3</t>
  </si>
  <si>
    <t>Alhan Antonio Fernandez Rojas</t>
  </si>
  <si>
    <t>13.411.868-7</t>
  </si>
  <si>
    <t>+569 91234801</t>
  </si>
  <si>
    <t>jefe logistica chuquicamata</t>
  </si>
  <si>
    <t>G-3-6</t>
  </si>
  <si>
    <t>Francisco Javier Rojas Rivera</t>
  </si>
  <si>
    <t>19.352.461-3</t>
  </si>
  <si>
    <t>Gabriela Mistral #5565, Copiapo</t>
  </si>
  <si>
    <t>+569 94737249</t>
  </si>
  <si>
    <t>Tec. Minas</t>
  </si>
  <si>
    <t>G-1-5</t>
  </si>
  <si>
    <t>G-1-6</t>
  </si>
  <si>
    <t>Isabel Del Carmen Rojas Arce</t>
  </si>
  <si>
    <t>4.451.179-7</t>
  </si>
  <si>
    <t>Lamarck #0367 Quilpue</t>
  </si>
  <si>
    <t>+569 587232813</t>
  </si>
  <si>
    <t>Quilpue</t>
  </si>
  <si>
    <t>Dueña de casa</t>
  </si>
  <si>
    <t>Viuda</t>
  </si>
  <si>
    <t>F-4-1</t>
  </si>
  <si>
    <t>Cerviño</t>
  </si>
  <si>
    <t xml:space="preserve">Hernaldo Salfate Iduarte </t>
  </si>
  <si>
    <t>8.577.430-1</t>
  </si>
  <si>
    <t>Vicente Huidrobro #1950</t>
  </si>
  <si>
    <t>+569 4888696</t>
  </si>
  <si>
    <t>Chofer</t>
  </si>
  <si>
    <t xml:space="preserve">Casado </t>
  </si>
  <si>
    <t>F-4-2</t>
  </si>
  <si>
    <t>Franchesca Salfate Ayar</t>
  </si>
  <si>
    <t>17.491.651-9</t>
  </si>
  <si>
    <t>Vicente Huidobro #1950 pob Escritoresde Chile</t>
  </si>
  <si>
    <t>+569 34176567</t>
  </si>
  <si>
    <t>Psicopedagoda</t>
  </si>
  <si>
    <t>F-4-3</t>
  </si>
  <si>
    <t>Agrofruta Spa (Adriana Villca Gomez)</t>
  </si>
  <si>
    <t>76.735.871-7</t>
  </si>
  <si>
    <t>Fundo Margarita - Kilometro 852</t>
  </si>
  <si>
    <t>+569 83168520</t>
  </si>
  <si>
    <t>Agricultor</t>
  </si>
  <si>
    <t>F-4-4</t>
  </si>
  <si>
    <t>Paulina Alejandra Fernández Cortes</t>
  </si>
  <si>
    <t>15.611.995-4</t>
  </si>
  <si>
    <t>Cumbres del Palomar - Torre G - Depto # 31</t>
  </si>
  <si>
    <t>Tecnico Mecanico</t>
  </si>
  <si>
    <t>F-4-5</t>
  </si>
  <si>
    <t xml:space="preserve">Daniel Bacilio Gomez Palacios </t>
  </si>
  <si>
    <t>9.999.234-4</t>
  </si>
  <si>
    <t>nevado #1542 Valle los rios , Copiapó</t>
  </si>
  <si>
    <t>+569 8916621</t>
  </si>
  <si>
    <t xml:space="preserve">Obras Civiles </t>
  </si>
  <si>
    <t>F-4-6</t>
  </si>
  <si>
    <t xml:space="preserve">Mario Paolo Zapata Villalon </t>
  </si>
  <si>
    <t>10.919.809-9</t>
  </si>
  <si>
    <t>avda. producción #2687 Alto Palomar</t>
  </si>
  <si>
    <t>+569 9913285</t>
  </si>
  <si>
    <t xml:space="preserve">Jefe de Mantención </t>
  </si>
  <si>
    <t>F-3-1</t>
  </si>
  <si>
    <t>Adixo Carvajal , Alejandro Alvares</t>
  </si>
  <si>
    <t>12.618.539-1</t>
  </si>
  <si>
    <t>Margarita Sur Pacela 52</t>
  </si>
  <si>
    <t>+569 87526656</t>
  </si>
  <si>
    <t>Tec. Agrícola</t>
  </si>
  <si>
    <t>F-3-2</t>
  </si>
  <si>
    <t>F-3-3</t>
  </si>
  <si>
    <t>Enriqueta Pizarro Pasten</t>
  </si>
  <si>
    <t>16.780.184-6</t>
  </si>
  <si>
    <t>Almirante simpson #1981 ampliación pratt</t>
  </si>
  <si>
    <t>+569 50306046</t>
  </si>
  <si>
    <t>F-3-4</t>
  </si>
  <si>
    <t>Luis Arenas Vega</t>
  </si>
  <si>
    <t>12.841.903-9</t>
  </si>
  <si>
    <t>Parcela #10 - Hacienda Toledo</t>
  </si>
  <si>
    <t>+569 59900641</t>
  </si>
  <si>
    <t>Matron</t>
  </si>
  <si>
    <t>Salud</t>
  </si>
  <si>
    <t>F-3-5</t>
  </si>
  <si>
    <t>Osvaldo Antonio Sánchez Pérez</t>
  </si>
  <si>
    <t>16.540.593-5</t>
  </si>
  <si>
    <t>Valle los cisnes #4215, Copiapó</t>
  </si>
  <si>
    <t>+569 64028044</t>
  </si>
  <si>
    <t>Ing. Civil Industrial</t>
  </si>
  <si>
    <t>Proy_lote</t>
  </si>
  <si>
    <t>texto</t>
  </si>
  <si>
    <t>identificador unico del lote</t>
  </si>
  <si>
    <t>Alzam-Jud</t>
  </si>
  <si>
    <t>Lote</t>
  </si>
  <si>
    <t>Identifica el proyecto en que se encuentra el lote</t>
  </si>
  <si>
    <t>identifica el lote</t>
  </si>
  <si>
    <t>identifica el vendedor</t>
  </si>
  <si>
    <t>identifica si el lote tiene el documento de alzamiento</t>
  </si>
  <si>
    <t>integer</t>
  </si>
  <si>
    <t>es la modalidad de venta o estado actual, "P" = Promoción, "C" = Credito, "T" = Contado, "O" = Pozo</t>
  </si>
  <si>
    <t>fecha</t>
  </si>
  <si>
    <t>ciudad</t>
  </si>
  <si>
    <t>identifica si estan firmadas las escrituras del lote ante notario publico</t>
  </si>
  <si>
    <t>identifica si las escrituras del lote estan inscrita en conservador de bienes raices</t>
  </si>
  <si>
    <t>valor indicado en la escritura del lote en $x1000</t>
  </si>
  <si>
    <t>Valor del pie del lote indicado en la escritura en $x1000</t>
  </si>
  <si>
    <t>Cantidad total de cuotas a pagar cuando la modalidad es "P" o "T"</t>
  </si>
  <si>
    <t>Valor unitario de las cuotas por pagar del lote en $x1000, aplica en modalidad "P", "T"</t>
  </si>
  <si>
    <t>Valor total de las cuotas por pagar del lote en $x1000, aplica en modalidad "P", "T"</t>
  </si>
  <si>
    <t>Fecha en la cual se compro el lote</t>
  </si>
  <si>
    <t>fecha programada para el pago de la primera cuota del lote en $x1000, aplica en modalidad "P", "T"</t>
  </si>
  <si>
    <t>RUT del comprador del lote</t>
  </si>
  <si>
    <t>oficio del comprador del lote</t>
  </si>
  <si>
    <t>estado civil del comprador del lote</t>
  </si>
  <si>
    <t>area de trabajo del comprador del lote</t>
  </si>
  <si>
    <t>genero del comprador del lote ("M" = masculino y "F" = 1femenino)</t>
  </si>
  <si>
    <t>telefono del comprador del lote</t>
  </si>
  <si>
    <t>ciudad donde vive el comprador del lote</t>
  </si>
  <si>
    <t>direccion del comprador del lote</t>
  </si>
  <si>
    <t>nombre del comprador del lote</t>
  </si>
  <si>
    <t>fecha de pago de cuotas</t>
  </si>
  <si>
    <t>oficio</t>
  </si>
  <si>
    <t>Ecivil</t>
  </si>
  <si>
    <t>pagos</t>
  </si>
  <si>
    <t>MN2</t>
  </si>
  <si>
    <t>A-1</t>
  </si>
  <si>
    <t>Alicia del Rosario Aguilar Cisternas</t>
  </si>
  <si>
    <t>4.897.991-2</t>
  </si>
  <si>
    <t>+569 39068799 / 569 522520961</t>
  </si>
  <si>
    <t>Viudo</t>
  </si>
  <si>
    <t>f</t>
  </si>
  <si>
    <t>A-3</t>
  </si>
  <si>
    <t>Ruben Olivares Rivera</t>
  </si>
  <si>
    <t>12.109.216-6</t>
  </si>
  <si>
    <t>+569 985652050</t>
  </si>
  <si>
    <t>m</t>
  </si>
  <si>
    <t>A-4</t>
  </si>
  <si>
    <t>No</t>
  </si>
  <si>
    <t>Almalfi SPA</t>
  </si>
  <si>
    <t>77.337.572-0</t>
  </si>
  <si>
    <t>+569 942729970</t>
  </si>
  <si>
    <t>Caldera</t>
  </si>
  <si>
    <t>Clinica Odo.</t>
  </si>
  <si>
    <t>emp</t>
  </si>
  <si>
    <t>A-5</t>
  </si>
  <si>
    <t>A-6</t>
  </si>
  <si>
    <t>Carlos Correa Henriquez</t>
  </si>
  <si>
    <t>10.580.978-6</t>
  </si>
  <si>
    <t>+569 987207742</t>
  </si>
  <si>
    <t>Profesor</t>
  </si>
  <si>
    <t>A-7</t>
  </si>
  <si>
    <t>Comercializadora Pacifico SpA</t>
  </si>
  <si>
    <t>77.582.381-k</t>
  </si>
  <si>
    <t>+569 74377594</t>
  </si>
  <si>
    <t>Comercializadora</t>
  </si>
  <si>
    <t>Empresa</t>
  </si>
  <si>
    <t>A-8</t>
  </si>
  <si>
    <t>Paul Gonzalez Alday</t>
  </si>
  <si>
    <t>13.327.521-5</t>
  </si>
  <si>
    <t>Transportista</t>
  </si>
  <si>
    <t>A-9</t>
  </si>
  <si>
    <t>Jorge Rodrigo Opazo García</t>
  </si>
  <si>
    <t>12.771.488-6</t>
  </si>
  <si>
    <t>+569 66663789</t>
  </si>
  <si>
    <t>Ing. Informatico</t>
  </si>
  <si>
    <t>B-1</t>
  </si>
  <si>
    <t>Katherine Corina Orellana Astorga</t>
  </si>
  <si>
    <t>14.000.632-7</t>
  </si>
  <si>
    <t>+569 95306707</t>
  </si>
  <si>
    <t>Administyradora</t>
  </si>
  <si>
    <t>E</t>
  </si>
  <si>
    <t>MN3</t>
  </si>
  <si>
    <t>101-86</t>
  </si>
  <si>
    <t>Jorge Andrés Torres Rojas</t>
  </si>
  <si>
    <t>16.249.517-8</t>
  </si>
  <si>
    <t>Domingo Chacana 4341, Rinconada San Fernando</t>
  </si>
  <si>
    <t>+569 59499764</t>
  </si>
  <si>
    <t>Administrador</t>
  </si>
  <si>
    <t>101-87</t>
  </si>
  <si>
    <t>Ruth Mery Espinoza Martinez</t>
  </si>
  <si>
    <t>11.098.986-5</t>
  </si>
  <si>
    <t xml:space="preserve">Licancabur #1290 Los Volcanes </t>
  </si>
  <si>
    <t>+569 78088096</t>
  </si>
  <si>
    <t>101-88</t>
  </si>
  <si>
    <t>Flores y Flores Ltda</t>
  </si>
  <si>
    <t>76.910.371-6</t>
  </si>
  <si>
    <t xml:space="preserve">Padre Bernardo Bañuls #484 </t>
  </si>
  <si>
    <t>+569 92026572</t>
  </si>
  <si>
    <t>Coquimbo</t>
  </si>
  <si>
    <t>101-89</t>
  </si>
  <si>
    <t>Carla Crhistyng Carvajal Cerda</t>
  </si>
  <si>
    <t>15.032.318-5</t>
  </si>
  <si>
    <t>Manuel Cortazar Hernandez #4591 Rinconada de San Fernando</t>
  </si>
  <si>
    <t>+569 33071004</t>
  </si>
  <si>
    <t>Educadora de Parvulos</t>
  </si>
  <si>
    <t>cobros</t>
  </si>
  <si>
    <t>deuda</t>
  </si>
  <si>
    <t>fecha_deuda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</si>
</sst>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1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5" fontId="1" fillId="0" borderId="0" xfId="2" applyNumberFormat="1"/>
    <xf numFmtId="41" fontId="0" fillId="0" borderId="0" xfId="1" applyFont="1" applyAlignment="1">
      <alignment horizontal="center"/>
    </xf>
    <xf numFmtId="41" fontId="0" fillId="0" borderId="0" xfId="1" applyFon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5" fontId="2" fillId="0" borderId="0" xfId="2" applyNumberFormat="1" applyFont="1" applyAlignment="1">
      <alignment horizontal="right"/>
    </xf>
    <xf numFmtId="1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/>
  </cellXfs>
  <cellStyles count="3">
    <cellStyle name="Millares [0]" xfId="1" builtinId="6"/>
    <cellStyle name="Normal" xfId="0" builtinId="0"/>
    <cellStyle name="Normal 2" xfId="2" xr:uid="{DE797EBA-D4E7-4BB0-BE68-94811352BD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EE86-058A-4321-9472-7DC088A3B84A}">
  <dimension ref="A1:AB49"/>
  <sheetViews>
    <sheetView tabSelected="1" topLeftCell="M1" workbookViewId="0">
      <selection activeCell="R1" sqref="R1"/>
    </sheetView>
  </sheetViews>
  <sheetFormatPr baseColWidth="10" defaultRowHeight="14.25" x14ac:dyDescent="0.45"/>
  <cols>
    <col min="2" max="2" width="8.33203125" customWidth="1"/>
    <col min="14" max="15" width="10.6640625" style="2"/>
    <col min="16" max="16" width="28" bestFit="1" customWidth="1"/>
    <col min="17" max="17" width="11.3984375" bestFit="1" customWidth="1"/>
    <col min="18" max="18" width="32.59765625" bestFit="1" customWidth="1"/>
    <col min="19" max="19" width="14.06640625" bestFit="1" customWidth="1"/>
    <col min="20" max="20" width="9.86328125" bestFit="1" customWidth="1"/>
    <col min="21" max="21" width="15.9296875" bestFit="1" customWidth="1"/>
    <col min="22" max="22" width="9.59765625" bestFit="1" customWidth="1"/>
    <col min="24" max="24" width="8.3984375" customWidth="1"/>
    <col min="25" max="25" width="8.3984375" style="9" customWidth="1"/>
    <col min="27" max="27" width="10.6640625" style="1"/>
  </cols>
  <sheetData>
    <row r="1" spans="1:28" x14ac:dyDescent="0.45">
      <c r="A1" t="s">
        <v>210</v>
      </c>
      <c r="B1" t="s">
        <v>0</v>
      </c>
      <c r="C1" t="s">
        <v>214</v>
      </c>
      <c r="D1" t="s">
        <v>1</v>
      </c>
      <c r="E1" t="s">
        <v>71</v>
      </c>
      <c r="F1" t="s">
        <v>72</v>
      </c>
      <c r="G1" t="s">
        <v>2</v>
      </c>
      <c r="H1" t="s">
        <v>213</v>
      </c>
      <c r="I1" t="s">
        <v>73</v>
      </c>
      <c r="J1" t="s">
        <v>74</v>
      </c>
      <c r="K1" t="s">
        <v>3</v>
      </c>
      <c r="L1" t="s">
        <v>4</v>
      </c>
      <c r="M1" t="s">
        <v>5</v>
      </c>
      <c r="N1" s="2" t="s">
        <v>75</v>
      </c>
      <c r="O1" s="2" t="s">
        <v>76</v>
      </c>
      <c r="P1" t="s">
        <v>6</v>
      </c>
      <c r="Q1" t="s">
        <v>7</v>
      </c>
      <c r="R1" t="s">
        <v>8</v>
      </c>
      <c r="S1" t="s">
        <v>9</v>
      </c>
      <c r="T1" t="s">
        <v>222</v>
      </c>
      <c r="U1" t="s">
        <v>242</v>
      </c>
      <c r="V1" t="s">
        <v>243</v>
      </c>
      <c r="W1" t="s">
        <v>10</v>
      </c>
      <c r="X1" t="s">
        <v>11</v>
      </c>
      <c r="Y1" s="9" t="s">
        <v>244</v>
      </c>
      <c r="Z1" t="s">
        <v>316</v>
      </c>
      <c r="AA1" s="1" t="s">
        <v>317</v>
      </c>
      <c r="AB1" t="s">
        <v>318</v>
      </c>
    </row>
    <row r="2" spans="1:28" x14ac:dyDescent="0.45">
      <c r="A2" t="str">
        <f>+CONCATENATE(B2,C2)</f>
        <v>LLLG-4-1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I2" s="3">
        <v>17500</v>
      </c>
      <c r="N2" s="2">
        <v>45096</v>
      </c>
      <c r="P2" t="s">
        <v>18</v>
      </c>
      <c r="Q2" t="s">
        <v>19</v>
      </c>
      <c r="R2" t="s">
        <v>20</v>
      </c>
      <c r="S2" t="s">
        <v>21</v>
      </c>
      <c r="T2" t="s">
        <v>22</v>
      </c>
      <c r="U2" t="s">
        <v>23</v>
      </c>
      <c r="V2" t="s">
        <v>24</v>
      </c>
      <c r="X2" t="s">
        <v>25</v>
      </c>
      <c r="Y2" s="9">
        <v>0</v>
      </c>
      <c r="Z2" s="9">
        <v>0</v>
      </c>
      <c r="AA2" s="1">
        <f>+Y2-Z2</f>
        <v>0</v>
      </c>
      <c r="AB2" s="10">
        <v>46022</v>
      </c>
    </row>
    <row r="3" spans="1:28" x14ac:dyDescent="0.45">
      <c r="A3" t="str">
        <f t="shared" ref="A3:A49" si="0">+CONCATENATE(B3,C3)</f>
        <v>LLLG-4-2</v>
      </c>
      <c r="B3" t="s">
        <v>12</v>
      </c>
      <c r="C3" t="s">
        <v>26</v>
      </c>
      <c r="D3" t="s">
        <v>14</v>
      </c>
      <c r="E3" t="s">
        <v>15</v>
      </c>
      <c r="F3" t="s">
        <v>16</v>
      </c>
      <c r="G3" t="s">
        <v>17</v>
      </c>
      <c r="I3" s="3">
        <v>17500</v>
      </c>
      <c r="N3" s="2">
        <v>45096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X3" t="s">
        <v>25</v>
      </c>
      <c r="Y3" s="9">
        <v>0</v>
      </c>
      <c r="Z3" s="9">
        <v>0</v>
      </c>
      <c r="AA3" s="1">
        <f t="shared" ref="AA3:AA49" si="1">+Y3-Z3</f>
        <v>0</v>
      </c>
      <c r="AB3" s="10">
        <v>46022</v>
      </c>
    </row>
    <row r="4" spans="1:28" x14ac:dyDescent="0.45">
      <c r="A4" t="str">
        <f t="shared" si="0"/>
        <v>LLLG-4-3</v>
      </c>
      <c r="B4" t="s">
        <v>12</v>
      </c>
      <c r="C4" t="s">
        <v>27</v>
      </c>
      <c r="D4" t="s">
        <v>14</v>
      </c>
      <c r="E4" t="s">
        <v>28</v>
      </c>
      <c r="F4" t="s">
        <v>16</v>
      </c>
      <c r="G4" t="s">
        <v>29</v>
      </c>
      <c r="I4" s="3">
        <v>24000</v>
      </c>
      <c r="K4">
        <v>48</v>
      </c>
      <c r="L4">
        <v>500</v>
      </c>
      <c r="M4">
        <v>24000</v>
      </c>
      <c r="N4" s="2">
        <v>45158</v>
      </c>
      <c r="O4" s="2">
        <v>45158</v>
      </c>
      <c r="P4" t="s">
        <v>30</v>
      </c>
      <c r="Q4" t="s">
        <v>31</v>
      </c>
      <c r="R4" t="s">
        <v>32</v>
      </c>
      <c r="S4" t="s">
        <v>33</v>
      </c>
      <c r="T4" t="s">
        <v>34</v>
      </c>
      <c r="U4" t="s">
        <v>35</v>
      </c>
      <c r="V4" t="s">
        <v>36</v>
      </c>
      <c r="X4" t="s">
        <v>37</v>
      </c>
      <c r="Y4" s="9">
        <v>13500</v>
      </c>
      <c r="Z4" s="9">
        <v>11980</v>
      </c>
      <c r="AA4" s="1">
        <f t="shared" si="1"/>
        <v>1520</v>
      </c>
      <c r="AB4" s="10">
        <v>46022</v>
      </c>
    </row>
    <row r="5" spans="1:28" x14ac:dyDescent="0.45">
      <c r="A5" t="str">
        <f t="shared" si="0"/>
        <v>LLLG-4-4</v>
      </c>
      <c r="B5" t="s">
        <v>12</v>
      </c>
      <c r="C5" t="s">
        <v>38</v>
      </c>
      <c r="E5" t="s">
        <v>28</v>
      </c>
      <c r="G5" t="s">
        <v>29</v>
      </c>
      <c r="I5" s="3">
        <v>24000</v>
      </c>
      <c r="K5">
        <v>48</v>
      </c>
      <c r="L5">
        <v>500</v>
      </c>
      <c r="M5">
        <v>24000</v>
      </c>
      <c r="N5" s="2">
        <v>45158</v>
      </c>
      <c r="O5" s="2">
        <v>45143</v>
      </c>
      <c r="P5" t="s">
        <v>39</v>
      </c>
      <c r="Q5" t="s">
        <v>40</v>
      </c>
      <c r="Y5" s="9">
        <v>8500</v>
      </c>
      <c r="Z5" s="9">
        <v>8050</v>
      </c>
      <c r="AA5" s="1">
        <f t="shared" si="1"/>
        <v>450</v>
      </c>
      <c r="AB5" s="10">
        <v>46022</v>
      </c>
    </row>
    <row r="6" spans="1:28" x14ac:dyDescent="0.45">
      <c r="A6" t="str">
        <f t="shared" si="0"/>
        <v>LLLG-4-5</v>
      </c>
      <c r="B6" t="s">
        <v>12</v>
      </c>
      <c r="C6" t="s">
        <v>41</v>
      </c>
      <c r="D6" t="s">
        <v>14</v>
      </c>
      <c r="E6" t="s">
        <v>28</v>
      </c>
      <c r="F6" t="s">
        <v>16</v>
      </c>
      <c r="G6" t="s">
        <v>29</v>
      </c>
      <c r="I6" s="3">
        <v>24000</v>
      </c>
      <c r="K6">
        <v>48</v>
      </c>
      <c r="L6">
        <v>500</v>
      </c>
      <c r="M6">
        <v>24000</v>
      </c>
      <c r="N6" s="2">
        <v>45170</v>
      </c>
      <c r="O6" s="2">
        <v>45170</v>
      </c>
      <c r="P6" t="s">
        <v>42</v>
      </c>
      <c r="Q6" t="s">
        <v>43</v>
      </c>
      <c r="R6" t="s">
        <v>44</v>
      </c>
      <c r="S6" t="s">
        <v>45</v>
      </c>
      <c r="T6" t="s">
        <v>34</v>
      </c>
      <c r="U6" t="s">
        <v>46</v>
      </c>
      <c r="V6" t="s">
        <v>47</v>
      </c>
      <c r="X6" t="s">
        <v>37</v>
      </c>
      <c r="Y6" s="9">
        <v>13500</v>
      </c>
      <c r="Z6" s="9">
        <v>12750</v>
      </c>
      <c r="AA6" s="1">
        <f t="shared" si="1"/>
        <v>750</v>
      </c>
      <c r="AB6" s="10">
        <v>46022</v>
      </c>
    </row>
    <row r="7" spans="1:28" x14ac:dyDescent="0.45">
      <c r="A7" t="str">
        <f t="shared" si="0"/>
        <v>LLLG-4-6</v>
      </c>
      <c r="B7" t="s">
        <v>12</v>
      </c>
      <c r="C7" t="s">
        <v>48</v>
      </c>
      <c r="D7" t="s">
        <v>14</v>
      </c>
      <c r="E7" t="s">
        <v>15</v>
      </c>
      <c r="F7" t="s">
        <v>16</v>
      </c>
      <c r="G7" t="s">
        <v>17</v>
      </c>
      <c r="I7" s="3">
        <v>17500</v>
      </c>
      <c r="N7" s="2">
        <v>45096</v>
      </c>
      <c r="P7" t="s">
        <v>18</v>
      </c>
      <c r="Q7" t="s">
        <v>19</v>
      </c>
      <c r="R7" t="s">
        <v>20</v>
      </c>
      <c r="S7" t="s">
        <v>21</v>
      </c>
      <c r="T7" t="s">
        <v>22</v>
      </c>
      <c r="U7" t="s">
        <v>23</v>
      </c>
      <c r="V7" t="s">
        <v>24</v>
      </c>
      <c r="X7" t="s">
        <v>25</v>
      </c>
      <c r="Y7" s="9">
        <v>0</v>
      </c>
      <c r="Z7" s="9">
        <v>0</v>
      </c>
      <c r="AA7" s="1">
        <f t="shared" si="1"/>
        <v>0</v>
      </c>
      <c r="AB7" s="10">
        <v>46022</v>
      </c>
    </row>
    <row r="8" spans="1:28" x14ac:dyDescent="0.45">
      <c r="A8" t="str">
        <f t="shared" si="0"/>
        <v>LLLG-3-1</v>
      </c>
      <c r="B8" t="s">
        <v>12</v>
      </c>
      <c r="C8" t="s">
        <v>49</v>
      </c>
      <c r="D8" t="s">
        <v>14</v>
      </c>
      <c r="E8" t="s">
        <v>28</v>
      </c>
      <c r="F8" t="s">
        <v>16</v>
      </c>
      <c r="G8" t="s">
        <v>29</v>
      </c>
      <c r="I8" s="4">
        <v>26400</v>
      </c>
      <c r="K8">
        <v>48</v>
      </c>
      <c r="L8">
        <v>550</v>
      </c>
      <c r="M8">
        <v>26400</v>
      </c>
      <c r="N8" s="2">
        <v>45392</v>
      </c>
      <c r="P8" t="s">
        <v>50</v>
      </c>
      <c r="Q8" t="s">
        <v>51</v>
      </c>
      <c r="R8" t="s">
        <v>52</v>
      </c>
      <c r="T8" t="s">
        <v>34</v>
      </c>
      <c r="U8" t="s">
        <v>53</v>
      </c>
      <c r="V8" t="s">
        <v>36</v>
      </c>
      <c r="X8" t="s">
        <v>37</v>
      </c>
      <c r="Y8" s="9">
        <v>11538.834999999999</v>
      </c>
      <c r="Z8" s="9">
        <v>10018.834999999999</v>
      </c>
      <c r="AA8" s="1">
        <f t="shared" si="1"/>
        <v>1520</v>
      </c>
      <c r="AB8" s="10">
        <v>46022</v>
      </c>
    </row>
    <row r="9" spans="1:28" x14ac:dyDescent="0.45">
      <c r="A9" t="str">
        <f t="shared" si="0"/>
        <v>LLLG-1-2</v>
      </c>
      <c r="B9" t="s">
        <v>12</v>
      </c>
      <c r="C9" t="s">
        <v>54</v>
      </c>
      <c r="D9" t="s">
        <v>14</v>
      </c>
      <c r="E9" t="s">
        <v>55</v>
      </c>
      <c r="F9" t="s">
        <v>16</v>
      </c>
      <c r="G9" t="s">
        <v>17</v>
      </c>
      <c r="H9" t="s">
        <v>56</v>
      </c>
      <c r="I9" s="4">
        <v>28000</v>
      </c>
      <c r="J9">
        <v>4000</v>
      </c>
      <c r="K9">
        <v>48</v>
      </c>
      <c r="L9">
        <v>500</v>
      </c>
      <c r="M9">
        <v>24000</v>
      </c>
      <c r="N9" s="2">
        <v>44790</v>
      </c>
      <c r="O9" s="2">
        <v>44819</v>
      </c>
      <c r="P9" t="s">
        <v>57</v>
      </c>
      <c r="Q9" t="s">
        <v>58</v>
      </c>
      <c r="R9" t="s">
        <v>59</v>
      </c>
      <c r="S9" t="s">
        <v>60</v>
      </c>
      <c r="T9" t="s">
        <v>61</v>
      </c>
      <c r="U9" t="s">
        <v>62</v>
      </c>
      <c r="V9" t="s">
        <v>63</v>
      </c>
      <c r="X9" t="s">
        <v>25</v>
      </c>
      <c r="Y9" s="9">
        <v>3500</v>
      </c>
      <c r="Z9" s="9">
        <v>3050</v>
      </c>
      <c r="AA9" s="1">
        <f t="shared" si="1"/>
        <v>450</v>
      </c>
      <c r="AB9" s="10">
        <v>46022</v>
      </c>
    </row>
    <row r="10" spans="1:28" x14ac:dyDescent="0.45">
      <c r="A10" t="str">
        <f t="shared" si="0"/>
        <v>LLLG-1-3</v>
      </c>
      <c r="B10" t="s">
        <v>12</v>
      </c>
      <c r="C10" t="s">
        <v>64</v>
      </c>
      <c r="D10" t="s">
        <v>14</v>
      </c>
      <c r="E10" t="s">
        <v>55</v>
      </c>
      <c r="F10" t="s">
        <v>16</v>
      </c>
      <c r="G10" t="s">
        <v>16</v>
      </c>
      <c r="I10" s="4">
        <v>22000</v>
      </c>
      <c r="J10">
        <v>4000</v>
      </c>
      <c r="K10">
        <v>12</v>
      </c>
      <c r="L10">
        <v>1500</v>
      </c>
      <c r="M10">
        <v>18000</v>
      </c>
      <c r="N10" s="2">
        <v>44790</v>
      </c>
      <c r="O10" s="2">
        <v>44819</v>
      </c>
      <c r="P10" t="s">
        <v>65</v>
      </c>
      <c r="Q10" t="s">
        <v>66</v>
      </c>
      <c r="R10" t="s">
        <v>67</v>
      </c>
      <c r="S10" t="s">
        <v>68</v>
      </c>
      <c r="T10" t="s">
        <v>69</v>
      </c>
      <c r="U10" t="s">
        <v>70</v>
      </c>
      <c r="V10" t="s">
        <v>63</v>
      </c>
      <c r="X10" t="s">
        <v>25</v>
      </c>
      <c r="Y10" s="9">
        <v>18000</v>
      </c>
      <c r="Z10" s="9">
        <v>17250</v>
      </c>
      <c r="AA10" s="1">
        <f t="shared" si="1"/>
        <v>750</v>
      </c>
      <c r="AB10" s="10">
        <v>46022</v>
      </c>
    </row>
    <row r="11" spans="1:28" x14ac:dyDescent="0.45">
      <c r="A11" t="str">
        <f t="shared" si="0"/>
        <v>LLLG-3-4</v>
      </c>
      <c r="B11" t="s">
        <v>12</v>
      </c>
      <c r="C11" t="s">
        <v>77</v>
      </c>
      <c r="D11" t="s">
        <v>14</v>
      </c>
      <c r="E11" t="s">
        <v>15</v>
      </c>
      <c r="F11" t="s">
        <v>16</v>
      </c>
      <c r="G11" t="s">
        <v>29</v>
      </c>
      <c r="I11" s="4">
        <v>12000</v>
      </c>
      <c r="N11" s="2">
        <v>45170</v>
      </c>
      <c r="P11" t="s">
        <v>81</v>
      </c>
      <c r="Q11" t="s">
        <v>82</v>
      </c>
      <c r="R11" t="s">
        <v>83</v>
      </c>
      <c r="T11" t="s">
        <v>34</v>
      </c>
      <c r="U11" t="s">
        <v>84</v>
      </c>
      <c r="V11" t="s">
        <v>46</v>
      </c>
      <c r="X11" t="s">
        <v>25</v>
      </c>
      <c r="Y11" s="9">
        <v>0</v>
      </c>
      <c r="Z11" s="9">
        <v>0</v>
      </c>
      <c r="AA11" s="1">
        <f t="shared" si="1"/>
        <v>0</v>
      </c>
      <c r="AB11" s="10">
        <v>46022</v>
      </c>
    </row>
    <row r="12" spans="1:28" x14ac:dyDescent="0.45">
      <c r="A12" t="str">
        <f t="shared" si="0"/>
        <v>LLLG-3-5</v>
      </c>
      <c r="B12" t="s">
        <v>12</v>
      </c>
      <c r="C12" t="s">
        <v>78</v>
      </c>
      <c r="D12" t="s">
        <v>14</v>
      </c>
      <c r="E12" t="s">
        <v>15</v>
      </c>
      <c r="F12" t="s">
        <v>16</v>
      </c>
      <c r="G12" t="s">
        <v>29</v>
      </c>
      <c r="I12" s="4">
        <v>5000</v>
      </c>
      <c r="N12" s="2">
        <v>45314</v>
      </c>
      <c r="P12" t="s">
        <v>85</v>
      </c>
      <c r="Q12" t="s">
        <v>86</v>
      </c>
      <c r="R12" t="s">
        <v>87</v>
      </c>
      <c r="T12" t="s">
        <v>34</v>
      </c>
      <c r="U12" t="s">
        <v>88</v>
      </c>
      <c r="V12" t="s">
        <v>63</v>
      </c>
      <c r="X12" t="s">
        <v>25</v>
      </c>
      <c r="Y12" s="9">
        <v>0</v>
      </c>
      <c r="Z12" s="9">
        <v>0</v>
      </c>
      <c r="AA12" s="1">
        <f t="shared" si="1"/>
        <v>0</v>
      </c>
      <c r="AB12" s="10">
        <v>46022</v>
      </c>
    </row>
    <row r="13" spans="1:28" x14ac:dyDescent="0.45">
      <c r="A13" t="str">
        <f t="shared" si="0"/>
        <v>LLLG-1-4</v>
      </c>
      <c r="B13" t="s">
        <v>12</v>
      </c>
      <c r="C13" t="s">
        <v>79</v>
      </c>
      <c r="E13" t="s">
        <v>55</v>
      </c>
      <c r="F13" t="s">
        <v>16</v>
      </c>
      <c r="G13" t="s">
        <v>16</v>
      </c>
      <c r="I13" s="4">
        <v>22000</v>
      </c>
      <c r="J13">
        <v>4000</v>
      </c>
      <c r="K13">
        <v>12</v>
      </c>
      <c r="L13">
        <v>1500</v>
      </c>
      <c r="M13">
        <v>18000</v>
      </c>
      <c r="O13" s="2">
        <v>44819</v>
      </c>
      <c r="P13" t="s">
        <v>89</v>
      </c>
      <c r="Q13" t="s">
        <v>90</v>
      </c>
      <c r="R13" t="s">
        <v>91</v>
      </c>
      <c r="S13" t="s">
        <v>68</v>
      </c>
      <c r="T13" t="s">
        <v>69</v>
      </c>
      <c r="U13" t="s">
        <v>70</v>
      </c>
      <c r="V13" t="s">
        <v>63</v>
      </c>
      <c r="X13" t="s">
        <v>25</v>
      </c>
      <c r="Y13" s="9">
        <v>18000</v>
      </c>
      <c r="Z13" s="9">
        <v>18000</v>
      </c>
      <c r="AA13" s="1">
        <f t="shared" si="1"/>
        <v>0</v>
      </c>
      <c r="AB13" s="10">
        <v>46022</v>
      </c>
    </row>
    <row r="14" spans="1:28" x14ac:dyDescent="0.45">
      <c r="A14" t="str">
        <f t="shared" si="0"/>
        <v>LLLG-2-1</v>
      </c>
      <c r="B14" t="s">
        <v>12</v>
      </c>
      <c r="C14" t="s">
        <v>80</v>
      </c>
      <c r="D14" t="s">
        <v>14</v>
      </c>
      <c r="E14" t="s">
        <v>15</v>
      </c>
      <c r="F14" t="s">
        <v>16</v>
      </c>
      <c r="G14" t="s">
        <v>17</v>
      </c>
      <c r="I14" s="4">
        <v>17500</v>
      </c>
      <c r="N14" s="2">
        <v>45096</v>
      </c>
      <c r="P14" t="s">
        <v>18</v>
      </c>
      <c r="Q14" t="s">
        <v>19</v>
      </c>
      <c r="R14" t="s">
        <v>20</v>
      </c>
      <c r="S14" t="s">
        <v>21</v>
      </c>
      <c r="T14" t="s">
        <v>22</v>
      </c>
      <c r="U14" t="s">
        <v>23</v>
      </c>
      <c r="V14" t="s">
        <v>24</v>
      </c>
      <c r="X14" t="s">
        <v>25</v>
      </c>
      <c r="Y14" s="9">
        <v>0</v>
      </c>
      <c r="Z14" s="9">
        <v>0</v>
      </c>
      <c r="AA14" s="1">
        <f t="shared" si="1"/>
        <v>0</v>
      </c>
      <c r="AB14" s="10">
        <v>46022</v>
      </c>
    </row>
    <row r="15" spans="1:28" x14ac:dyDescent="0.45">
      <c r="A15" t="str">
        <f t="shared" si="0"/>
        <v>LLLG-2-2</v>
      </c>
      <c r="B15" t="s">
        <v>12</v>
      </c>
      <c r="C15" t="s">
        <v>92</v>
      </c>
      <c r="E15" t="s">
        <v>93</v>
      </c>
      <c r="G15" t="s">
        <v>29</v>
      </c>
      <c r="I15" s="4">
        <v>24000</v>
      </c>
      <c r="Y15" s="9">
        <v>0</v>
      </c>
      <c r="Z15" s="9">
        <v>0</v>
      </c>
      <c r="AA15" s="1">
        <f t="shared" si="1"/>
        <v>0</v>
      </c>
      <c r="AB15" s="10">
        <v>46022</v>
      </c>
    </row>
    <row r="16" spans="1:28" x14ac:dyDescent="0.45">
      <c r="A16" t="str">
        <f t="shared" si="0"/>
        <v>LLLG-2-3</v>
      </c>
      <c r="B16" t="s">
        <v>12</v>
      </c>
      <c r="C16" t="s">
        <v>94</v>
      </c>
      <c r="D16" t="s">
        <v>14</v>
      </c>
      <c r="E16" t="s">
        <v>15</v>
      </c>
      <c r="F16" t="s">
        <v>16</v>
      </c>
      <c r="G16" t="s">
        <v>16</v>
      </c>
      <c r="I16" s="4">
        <v>9000</v>
      </c>
      <c r="N16" s="2">
        <v>44880</v>
      </c>
      <c r="P16" t="s">
        <v>95</v>
      </c>
      <c r="Q16" t="s">
        <v>96</v>
      </c>
      <c r="R16" t="s">
        <v>97</v>
      </c>
      <c r="S16" t="s">
        <v>98</v>
      </c>
      <c r="T16" t="s">
        <v>61</v>
      </c>
      <c r="U16" t="s">
        <v>84</v>
      </c>
      <c r="V16" t="s">
        <v>24</v>
      </c>
      <c r="X16" t="s">
        <v>25</v>
      </c>
      <c r="Y16" s="9">
        <v>0</v>
      </c>
      <c r="Z16" s="9">
        <v>0</v>
      </c>
      <c r="AA16" s="1">
        <f t="shared" si="1"/>
        <v>0</v>
      </c>
      <c r="AB16" s="10">
        <v>46022</v>
      </c>
    </row>
    <row r="17" spans="1:28" x14ac:dyDescent="0.45">
      <c r="A17" t="str">
        <f t="shared" si="0"/>
        <v>LLLG-2-4</v>
      </c>
      <c r="B17" t="s">
        <v>12</v>
      </c>
      <c r="C17" t="s">
        <v>99</v>
      </c>
      <c r="D17" t="s">
        <v>14</v>
      </c>
      <c r="E17" t="s">
        <v>15</v>
      </c>
      <c r="F17" t="s">
        <v>16</v>
      </c>
      <c r="G17" t="s">
        <v>16</v>
      </c>
      <c r="I17" s="4">
        <v>20000</v>
      </c>
      <c r="N17" s="2">
        <v>44889</v>
      </c>
      <c r="P17" t="s">
        <v>100</v>
      </c>
      <c r="Q17" t="s">
        <v>101</v>
      </c>
      <c r="R17" t="s">
        <v>102</v>
      </c>
      <c r="S17" t="s">
        <v>103</v>
      </c>
      <c r="T17" t="s">
        <v>61</v>
      </c>
      <c r="U17" t="s">
        <v>104</v>
      </c>
      <c r="V17" t="s">
        <v>105</v>
      </c>
      <c r="X17" t="s">
        <v>25</v>
      </c>
      <c r="Y17" s="9">
        <v>0</v>
      </c>
      <c r="Z17" s="9">
        <v>0</v>
      </c>
      <c r="AA17" s="1">
        <f t="shared" si="1"/>
        <v>0</v>
      </c>
      <c r="AB17" s="10">
        <v>46022</v>
      </c>
    </row>
    <row r="18" spans="1:28" x14ac:dyDescent="0.45">
      <c r="A18" t="str">
        <f t="shared" si="0"/>
        <v>LLLG-2-5</v>
      </c>
      <c r="B18" t="s">
        <v>12</v>
      </c>
      <c r="C18" t="s">
        <v>106</v>
      </c>
      <c r="D18" t="s">
        <v>14</v>
      </c>
      <c r="E18" t="s">
        <v>15</v>
      </c>
      <c r="F18" t="s">
        <v>16</v>
      </c>
      <c r="G18" t="s">
        <v>16</v>
      </c>
      <c r="I18" s="4">
        <v>19500</v>
      </c>
      <c r="N18" s="2">
        <v>44827</v>
      </c>
      <c r="P18" t="s">
        <v>107</v>
      </c>
      <c r="Q18" t="s">
        <v>108</v>
      </c>
      <c r="R18" t="s">
        <v>109</v>
      </c>
      <c r="S18" t="s">
        <v>110</v>
      </c>
      <c r="T18" t="s">
        <v>61</v>
      </c>
      <c r="U18" t="s">
        <v>111</v>
      </c>
      <c r="V18" t="s">
        <v>24</v>
      </c>
      <c r="X18" t="s">
        <v>25</v>
      </c>
      <c r="Y18" s="9">
        <v>0</v>
      </c>
      <c r="Z18" s="9">
        <v>0</v>
      </c>
      <c r="AA18" s="1">
        <f t="shared" si="1"/>
        <v>0</v>
      </c>
      <c r="AB18" s="10">
        <v>46022</v>
      </c>
    </row>
    <row r="19" spans="1:28" x14ac:dyDescent="0.45">
      <c r="A19" t="str">
        <f t="shared" si="0"/>
        <v>LLLG-2-6</v>
      </c>
      <c r="B19" t="s">
        <v>12</v>
      </c>
      <c r="C19" t="s">
        <v>112</v>
      </c>
      <c r="E19" t="s">
        <v>55</v>
      </c>
      <c r="G19" t="s">
        <v>17</v>
      </c>
      <c r="H19" t="s">
        <v>56</v>
      </c>
      <c r="I19" s="4">
        <v>28000</v>
      </c>
      <c r="J19">
        <v>4000</v>
      </c>
      <c r="K19">
        <v>48</v>
      </c>
      <c r="L19">
        <v>500</v>
      </c>
      <c r="M19">
        <v>24000</v>
      </c>
      <c r="O19" s="2">
        <v>44849</v>
      </c>
      <c r="P19" t="s">
        <v>113</v>
      </c>
      <c r="Q19" t="s">
        <v>114</v>
      </c>
      <c r="R19" t="s">
        <v>115</v>
      </c>
      <c r="S19" t="s">
        <v>116</v>
      </c>
      <c r="T19" t="s">
        <v>117</v>
      </c>
      <c r="U19" t="s">
        <v>118</v>
      </c>
      <c r="V19" t="s">
        <v>63</v>
      </c>
      <c r="X19" t="s">
        <v>25</v>
      </c>
      <c r="Y19" s="9">
        <v>500</v>
      </c>
      <c r="Z19" s="9">
        <v>500</v>
      </c>
      <c r="AA19" s="1">
        <f t="shared" si="1"/>
        <v>0</v>
      </c>
      <c r="AB19" s="10">
        <v>46022</v>
      </c>
    </row>
    <row r="20" spans="1:28" x14ac:dyDescent="0.45">
      <c r="A20" t="str">
        <f t="shared" si="0"/>
        <v>LLLG-1-1</v>
      </c>
      <c r="B20" t="s">
        <v>12</v>
      </c>
      <c r="C20" t="s">
        <v>119</v>
      </c>
      <c r="E20" t="s">
        <v>120</v>
      </c>
      <c r="G20" t="s">
        <v>29</v>
      </c>
      <c r="I20" s="4">
        <v>24000</v>
      </c>
      <c r="P20" t="s">
        <v>121</v>
      </c>
      <c r="Y20" s="9">
        <v>0</v>
      </c>
      <c r="Z20" s="9">
        <v>0</v>
      </c>
      <c r="AA20" s="1">
        <f t="shared" si="1"/>
        <v>0</v>
      </c>
      <c r="AB20" s="10">
        <v>46022</v>
      </c>
    </row>
    <row r="21" spans="1:28" x14ac:dyDescent="0.45">
      <c r="A21" t="str">
        <f t="shared" si="0"/>
        <v>LLLG-3-2</v>
      </c>
      <c r="B21" t="s">
        <v>12</v>
      </c>
      <c r="C21" t="s">
        <v>122</v>
      </c>
      <c r="D21" t="s">
        <v>14</v>
      </c>
      <c r="E21" t="s">
        <v>55</v>
      </c>
      <c r="F21" t="s">
        <v>16</v>
      </c>
      <c r="G21" t="s">
        <v>16</v>
      </c>
      <c r="I21" s="4">
        <v>23320</v>
      </c>
      <c r="J21">
        <v>10000</v>
      </c>
      <c r="K21">
        <v>36</v>
      </c>
      <c r="L21">
        <v>370</v>
      </c>
      <c r="M21">
        <v>13320</v>
      </c>
      <c r="N21" s="2">
        <v>44799</v>
      </c>
      <c r="O21" s="2">
        <v>44819</v>
      </c>
      <c r="P21" t="s">
        <v>123</v>
      </c>
      <c r="Q21" t="s">
        <v>124</v>
      </c>
      <c r="R21" t="s">
        <v>125</v>
      </c>
      <c r="S21" t="s">
        <v>126</v>
      </c>
      <c r="T21" t="s">
        <v>61</v>
      </c>
      <c r="U21" t="s">
        <v>127</v>
      </c>
      <c r="V21" t="s">
        <v>105</v>
      </c>
      <c r="X21" t="s">
        <v>25</v>
      </c>
      <c r="Y21" s="9">
        <v>12950</v>
      </c>
      <c r="Z21" s="9">
        <v>11430</v>
      </c>
      <c r="AA21" s="1">
        <f t="shared" si="1"/>
        <v>1520</v>
      </c>
      <c r="AB21" s="10">
        <v>46022</v>
      </c>
    </row>
    <row r="22" spans="1:28" x14ac:dyDescent="0.45">
      <c r="A22" t="str">
        <f t="shared" si="0"/>
        <v>LLLG-3-3</v>
      </c>
      <c r="B22" t="s">
        <v>12</v>
      </c>
      <c r="C22" t="s">
        <v>128</v>
      </c>
      <c r="D22" t="s">
        <v>14</v>
      </c>
      <c r="E22" t="s">
        <v>55</v>
      </c>
      <c r="F22" t="s">
        <v>16</v>
      </c>
      <c r="G22" t="s">
        <v>17</v>
      </c>
      <c r="I22" s="4">
        <v>23320</v>
      </c>
      <c r="J22">
        <v>10000</v>
      </c>
      <c r="K22">
        <v>36</v>
      </c>
      <c r="L22">
        <v>370</v>
      </c>
      <c r="M22">
        <v>13320</v>
      </c>
      <c r="N22" s="2">
        <v>44804</v>
      </c>
      <c r="O22" s="2">
        <v>44819</v>
      </c>
      <c r="P22" t="s">
        <v>129</v>
      </c>
      <c r="Q22" t="s">
        <v>130</v>
      </c>
      <c r="R22" t="s">
        <v>125</v>
      </c>
      <c r="S22" t="s">
        <v>131</v>
      </c>
      <c r="T22" t="s">
        <v>61</v>
      </c>
      <c r="U22" t="s">
        <v>132</v>
      </c>
      <c r="V22" t="s">
        <v>63</v>
      </c>
      <c r="X22" t="s">
        <v>25</v>
      </c>
      <c r="Y22" s="9">
        <v>13320</v>
      </c>
      <c r="Z22" s="9">
        <v>12870</v>
      </c>
      <c r="AA22" s="1">
        <f t="shared" si="1"/>
        <v>450</v>
      </c>
      <c r="AB22" s="10">
        <v>46022</v>
      </c>
    </row>
    <row r="23" spans="1:28" x14ac:dyDescent="0.45">
      <c r="A23" t="str">
        <f t="shared" si="0"/>
        <v>LLLG-3-6</v>
      </c>
      <c r="B23" t="s">
        <v>12</v>
      </c>
      <c r="C23" t="s">
        <v>133</v>
      </c>
      <c r="D23" t="s">
        <v>14</v>
      </c>
      <c r="E23" t="s">
        <v>55</v>
      </c>
      <c r="F23" t="s">
        <v>16</v>
      </c>
      <c r="G23" t="s">
        <v>16</v>
      </c>
      <c r="I23" s="4">
        <v>28000</v>
      </c>
      <c r="J23">
        <v>4000</v>
      </c>
      <c r="K23">
        <v>48</v>
      </c>
      <c r="L23">
        <v>500</v>
      </c>
      <c r="M23">
        <v>24000</v>
      </c>
      <c r="N23" s="2">
        <v>44853</v>
      </c>
      <c r="O23" s="2">
        <v>44880</v>
      </c>
      <c r="P23" t="s">
        <v>134</v>
      </c>
      <c r="Q23" t="s">
        <v>135</v>
      </c>
      <c r="R23" t="s">
        <v>136</v>
      </c>
      <c r="S23" t="s">
        <v>137</v>
      </c>
      <c r="T23" t="s">
        <v>61</v>
      </c>
      <c r="U23" t="s">
        <v>138</v>
      </c>
      <c r="V23" t="s">
        <v>63</v>
      </c>
      <c r="X23" t="s">
        <v>25</v>
      </c>
      <c r="Y23" s="9">
        <v>13490</v>
      </c>
      <c r="Z23" s="9">
        <v>12740</v>
      </c>
      <c r="AA23" s="1">
        <f t="shared" si="1"/>
        <v>750</v>
      </c>
      <c r="AB23" s="10">
        <v>46022</v>
      </c>
    </row>
    <row r="24" spans="1:28" x14ac:dyDescent="0.45">
      <c r="A24" t="str">
        <f t="shared" si="0"/>
        <v>LLLG-1-5</v>
      </c>
      <c r="B24" t="s">
        <v>12</v>
      </c>
      <c r="C24" t="s">
        <v>139</v>
      </c>
      <c r="E24" t="s">
        <v>93</v>
      </c>
      <c r="F24" t="s">
        <v>16</v>
      </c>
      <c r="G24" t="s">
        <v>29</v>
      </c>
      <c r="I24" s="4">
        <v>28000</v>
      </c>
      <c r="Y24" s="9">
        <v>0</v>
      </c>
      <c r="Z24" s="9">
        <v>0</v>
      </c>
      <c r="AA24" s="1">
        <f t="shared" si="1"/>
        <v>0</v>
      </c>
      <c r="AB24" s="10">
        <v>46022</v>
      </c>
    </row>
    <row r="25" spans="1:28" x14ac:dyDescent="0.45">
      <c r="A25" t="str">
        <f t="shared" si="0"/>
        <v>LLLG-1-6</v>
      </c>
      <c r="B25" t="s">
        <v>12</v>
      </c>
      <c r="C25" t="s">
        <v>140</v>
      </c>
      <c r="D25" t="s">
        <v>14</v>
      </c>
      <c r="E25" t="s">
        <v>15</v>
      </c>
      <c r="F25" t="s">
        <v>16</v>
      </c>
      <c r="G25" t="s">
        <v>16</v>
      </c>
      <c r="I25" s="4">
        <v>20000</v>
      </c>
      <c r="N25" s="2">
        <v>44784</v>
      </c>
      <c r="P25" t="s">
        <v>141</v>
      </c>
      <c r="Q25" t="s">
        <v>142</v>
      </c>
      <c r="R25" t="s">
        <v>143</v>
      </c>
      <c r="S25" t="s">
        <v>144</v>
      </c>
      <c r="T25" t="s">
        <v>145</v>
      </c>
      <c r="U25" t="s">
        <v>146</v>
      </c>
      <c r="V25" t="s">
        <v>147</v>
      </c>
      <c r="X25" t="s">
        <v>37</v>
      </c>
      <c r="Y25" s="9">
        <v>0</v>
      </c>
      <c r="Z25" s="9">
        <v>0</v>
      </c>
      <c r="AA25" s="1">
        <f t="shared" si="1"/>
        <v>0</v>
      </c>
      <c r="AB25" s="10">
        <v>46022</v>
      </c>
    </row>
    <row r="26" spans="1:28" x14ac:dyDescent="0.45">
      <c r="A26" t="str">
        <f t="shared" si="0"/>
        <v>LLLF-4-1</v>
      </c>
      <c r="B26" t="s">
        <v>12</v>
      </c>
      <c r="C26" t="s">
        <v>148</v>
      </c>
      <c r="D26" t="s">
        <v>149</v>
      </c>
      <c r="E26" t="s">
        <v>15</v>
      </c>
      <c r="F26" t="s">
        <v>16</v>
      </c>
      <c r="G26" t="s">
        <v>16</v>
      </c>
      <c r="I26" s="4">
        <v>18000</v>
      </c>
      <c r="N26" s="2">
        <v>44964</v>
      </c>
      <c r="P26" t="s">
        <v>150</v>
      </c>
      <c r="Q26" t="s">
        <v>151</v>
      </c>
      <c r="R26" t="s">
        <v>152</v>
      </c>
      <c r="S26" t="s">
        <v>153</v>
      </c>
      <c r="T26" t="s">
        <v>61</v>
      </c>
      <c r="U26" t="s">
        <v>154</v>
      </c>
      <c r="V26" t="s">
        <v>155</v>
      </c>
      <c r="X26" t="s">
        <v>25</v>
      </c>
      <c r="Y26" s="9">
        <v>0</v>
      </c>
      <c r="Z26" s="9">
        <v>0</v>
      </c>
      <c r="AA26" s="1">
        <f t="shared" si="1"/>
        <v>0</v>
      </c>
      <c r="AB26" s="10">
        <v>46022</v>
      </c>
    </row>
    <row r="27" spans="1:28" x14ac:dyDescent="0.45">
      <c r="A27" t="str">
        <f t="shared" si="0"/>
        <v>LLLF-4-2</v>
      </c>
      <c r="B27" t="s">
        <v>12</v>
      </c>
      <c r="C27" t="s">
        <v>156</v>
      </c>
      <c r="E27" t="s">
        <v>15</v>
      </c>
      <c r="G27" t="s">
        <v>16</v>
      </c>
      <c r="I27" s="4">
        <v>18000</v>
      </c>
      <c r="N27" s="2">
        <v>44947</v>
      </c>
      <c r="P27" t="s">
        <v>157</v>
      </c>
      <c r="Q27" t="s">
        <v>158</v>
      </c>
      <c r="R27" t="s">
        <v>159</v>
      </c>
      <c r="S27" t="s">
        <v>160</v>
      </c>
      <c r="T27" t="s">
        <v>61</v>
      </c>
      <c r="U27" t="s">
        <v>161</v>
      </c>
      <c r="V27" t="s">
        <v>63</v>
      </c>
      <c r="X27" t="s">
        <v>25</v>
      </c>
      <c r="Y27" s="9">
        <v>0</v>
      </c>
      <c r="Z27" s="9">
        <v>0</v>
      </c>
      <c r="AA27" s="1">
        <f t="shared" si="1"/>
        <v>0</v>
      </c>
      <c r="AB27" s="10">
        <v>46022</v>
      </c>
    </row>
    <row r="28" spans="1:28" x14ac:dyDescent="0.45">
      <c r="A28" t="str">
        <f t="shared" si="0"/>
        <v>LLLF-4-3</v>
      </c>
      <c r="B28" t="s">
        <v>12</v>
      </c>
      <c r="C28" t="s">
        <v>162</v>
      </c>
      <c r="D28" t="s">
        <v>149</v>
      </c>
      <c r="E28" t="s">
        <v>15</v>
      </c>
      <c r="F28" t="s">
        <v>16</v>
      </c>
      <c r="G28" t="s">
        <v>17</v>
      </c>
      <c r="I28" s="4">
        <v>20000</v>
      </c>
      <c r="N28" s="2">
        <v>45383</v>
      </c>
      <c r="P28" t="s">
        <v>163</v>
      </c>
      <c r="Q28" t="s">
        <v>164</v>
      </c>
      <c r="R28" t="s">
        <v>165</v>
      </c>
      <c r="S28" t="s">
        <v>166</v>
      </c>
      <c r="T28" t="s">
        <v>61</v>
      </c>
      <c r="U28" t="s">
        <v>167</v>
      </c>
      <c r="V28" t="s">
        <v>63</v>
      </c>
      <c r="X28" t="s">
        <v>37</v>
      </c>
      <c r="Y28" s="9">
        <v>0</v>
      </c>
      <c r="Z28" s="9">
        <v>0</v>
      </c>
      <c r="AA28" s="1">
        <f t="shared" si="1"/>
        <v>0</v>
      </c>
      <c r="AB28" s="10">
        <v>46022</v>
      </c>
    </row>
    <row r="29" spans="1:28" x14ac:dyDescent="0.45">
      <c r="A29" t="str">
        <f t="shared" si="0"/>
        <v>LLLF-4-4</v>
      </c>
      <c r="B29" t="s">
        <v>12</v>
      </c>
      <c r="C29" t="s">
        <v>168</v>
      </c>
      <c r="D29" t="s">
        <v>149</v>
      </c>
      <c r="E29" t="s">
        <v>28</v>
      </c>
      <c r="F29" t="s">
        <v>16</v>
      </c>
      <c r="G29" t="s">
        <v>29</v>
      </c>
      <c r="I29" s="4">
        <v>26400</v>
      </c>
      <c r="K29">
        <v>48</v>
      </c>
      <c r="L29">
        <v>550</v>
      </c>
      <c r="M29">
        <v>26400</v>
      </c>
      <c r="N29" s="2">
        <v>45414</v>
      </c>
      <c r="O29" s="2">
        <v>45414</v>
      </c>
      <c r="P29" t="s">
        <v>169</v>
      </c>
      <c r="Q29" t="s">
        <v>170</v>
      </c>
      <c r="R29" t="s">
        <v>171</v>
      </c>
      <c r="T29" t="s">
        <v>61</v>
      </c>
      <c r="U29" t="s">
        <v>172</v>
      </c>
      <c r="V29" t="s">
        <v>63</v>
      </c>
      <c r="X29" t="s">
        <v>25</v>
      </c>
      <c r="Y29" s="9">
        <v>10993.807000000001</v>
      </c>
      <c r="Z29" s="9">
        <v>9473.8070000000007</v>
      </c>
      <c r="AA29" s="1">
        <f t="shared" si="1"/>
        <v>1520</v>
      </c>
      <c r="AB29" s="10">
        <v>46022</v>
      </c>
    </row>
    <row r="30" spans="1:28" x14ac:dyDescent="0.45">
      <c r="A30" t="str">
        <f t="shared" si="0"/>
        <v>LLLF-4-5</v>
      </c>
      <c r="B30" t="s">
        <v>12</v>
      </c>
      <c r="C30" t="s">
        <v>173</v>
      </c>
      <c r="D30" t="s">
        <v>14</v>
      </c>
      <c r="E30" t="s">
        <v>55</v>
      </c>
      <c r="F30" t="s">
        <v>16</v>
      </c>
      <c r="G30" t="s">
        <v>17</v>
      </c>
      <c r="I30" s="4">
        <v>28000</v>
      </c>
      <c r="J30">
        <v>4000</v>
      </c>
      <c r="K30">
        <v>48</v>
      </c>
      <c r="L30">
        <v>500</v>
      </c>
      <c r="M30">
        <v>24000</v>
      </c>
      <c r="N30" s="2">
        <v>44742</v>
      </c>
      <c r="O30" s="2">
        <v>44762</v>
      </c>
      <c r="P30" t="s">
        <v>174</v>
      </c>
      <c r="Q30" t="s">
        <v>175</v>
      </c>
      <c r="R30" t="s">
        <v>176</v>
      </c>
      <c r="S30" t="s">
        <v>177</v>
      </c>
      <c r="T30" t="s">
        <v>61</v>
      </c>
      <c r="U30" t="s">
        <v>178</v>
      </c>
      <c r="V30" t="s">
        <v>155</v>
      </c>
      <c r="X30" t="s">
        <v>25</v>
      </c>
      <c r="Y30" s="9">
        <v>18500</v>
      </c>
      <c r="Z30" s="9">
        <v>18050</v>
      </c>
      <c r="AA30" s="1">
        <f t="shared" si="1"/>
        <v>450</v>
      </c>
      <c r="AB30" s="10">
        <v>46022</v>
      </c>
    </row>
    <row r="31" spans="1:28" x14ac:dyDescent="0.45">
      <c r="A31" t="str">
        <f t="shared" si="0"/>
        <v>LLLF-4-6</v>
      </c>
      <c r="B31" t="s">
        <v>12</v>
      </c>
      <c r="C31" t="s">
        <v>179</v>
      </c>
      <c r="D31" t="s">
        <v>149</v>
      </c>
      <c r="E31" t="s">
        <v>15</v>
      </c>
      <c r="F31" t="s">
        <v>16</v>
      </c>
      <c r="G31" t="s">
        <v>16</v>
      </c>
      <c r="I31" s="4">
        <v>18000</v>
      </c>
      <c r="N31" s="2">
        <v>44966</v>
      </c>
      <c r="P31" t="s">
        <v>180</v>
      </c>
      <c r="Q31" t="s">
        <v>181</v>
      </c>
      <c r="R31" t="s">
        <v>182</v>
      </c>
      <c r="S31" t="s">
        <v>183</v>
      </c>
      <c r="T31" t="s">
        <v>61</v>
      </c>
      <c r="U31" t="s">
        <v>184</v>
      </c>
      <c r="V31" t="s">
        <v>155</v>
      </c>
      <c r="X31" t="s">
        <v>25</v>
      </c>
      <c r="Y31" s="9">
        <v>0</v>
      </c>
      <c r="Z31" s="9">
        <v>0</v>
      </c>
      <c r="AA31" s="1">
        <f t="shared" si="1"/>
        <v>0</v>
      </c>
      <c r="AB31" s="10">
        <v>46022</v>
      </c>
    </row>
    <row r="32" spans="1:28" x14ac:dyDescent="0.45">
      <c r="A32" t="str">
        <f t="shared" si="0"/>
        <v>LLLF-3-1</v>
      </c>
      <c r="B32" t="s">
        <v>12</v>
      </c>
      <c r="C32" t="s">
        <v>185</v>
      </c>
      <c r="D32" t="s">
        <v>14</v>
      </c>
      <c r="E32" t="s">
        <v>55</v>
      </c>
      <c r="F32" t="s">
        <v>16</v>
      </c>
      <c r="G32" t="s">
        <v>17</v>
      </c>
      <c r="I32" s="4">
        <v>18320</v>
      </c>
      <c r="K32">
        <v>36</v>
      </c>
      <c r="L32">
        <v>370</v>
      </c>
      <c r="M32">
        <v>13320</v>
      </c>
      <c r="N32" s="2">
        <v>44740</v>
      </c>
      <c r="O32" s="2">
        <v>45127</v>
      </c>
      <c r="P32" t="s">
        <v>186</v>
      </c>
      <c r="Q32" t="s">
        <v>187</v>
      </c>
      <c r="R32" t="s">
        <v>188</v>
      </c>
      <c r="S32" t="s">
        <v>189</v>
      </c>
      <c r="T32" t="s">
        <v>61</v>
      </c>
      <c r="U32" t="s">
        <v>190</v>
      </c>
      <c r="V32" t="s">
        <v>63</v>
      </c>
      <c r="X32" t="s">
        <v>25</v>
      </c>
      <c r="Y32" s="9">
        <v>10730</v>
      </c>
      <c r="Z32" s="9">
        <v>9210</v>
      </c>
      <c r="AA32" s="1">
        <f t="shared" si="1"/>
        <v>1520</v>
      </c>
      <c r="AB32" s="10">
        <v>46022</v>
      </c>
    </row>
    <row r="33" spans="1:28" x14ac:dyDescent="0.45">
      <c r="A33" t="str">
        <f t="shared" si="0"/>
        <v>LLLF-3-2</v>
      </c>
      <c r="B33" t="s">
        <v>12</v>
      </c>
      <c r="C33" t="s">
        <v>191</v>
      </c>
      <c r="E33" t="s">
        <v>28</v>
      </c>
      <c r="G33" t="s">
        <v>29</v>
      </c>
      <c r="I33" s="4">
        <v>24000</v>
      </c>
      <c r="K33">
        <v>48</v>
      </c>
      <c r="L33">
        <v>500</v>
      </c>
      <c r="M33">
        <v>24000</v>
      </c>
      <c r="Y33" s="9">
        <v>1001</v>
      </c>
      <c r="Z33" s="9">
        <v>551</v>
      </c>
      <c r="AA33" s="1">
        <f t="shared" si="1"/>
        <v>450</v>
      </c>
      <c r="AB33" s="10">
        <v>46022</v>
      </c>
    </row>
    <row r="34" spans="1:28" x14ac:dyDescent="0.45">
      <c r="A34" t="str">
        <f t="shared" si="0"/>
        <v>LLLF-3-3</v>
      </c>
      <c r="B34" t="s">
        <v>12</v>
      </c>
      <c r="C34" t="s">
        <v>192</v>
      </c>
      <c r="D34" t="s">
        <v>149</v>
      </c>
      <c r="E34" t="s">
        <v>28</v>
      </c>
      <c r="F34" t="s">
        <v>16</v>
      </c>
      <c r="G34" t="s">
        <v>29</v>
      </c>
      <c r="I34" s="4">
        <v>24000</v>
      </c>
      <c r="K34">
        <v>48</v>
      </c>
      <c r="L34">
        <v>500</v>
      </c>
      <c r="M34">
        <v>24000</v>
      </c>
      <c r="N34" s="2">
        <v>45154</v>
      </c>
      <c r="O34" s="2">
        <v>45155</v>
      </c>
      <c r="P34" t="s">
        <v>193</v>
      </c>
      <c r="Q34" t="s">
        <v>194</v>
      </c>
      <c r="R34" t="s">
        <v>195</v>
      </c>
      <c r="S34" t="s">
        <v>196</v>
      </c>
      <c r="Y34" s="9">
        <v>0</v>
      </c>
      <c r="Z34" s="9">
        <v>0</v>
      </c>
      <c r="AA34" s="1">
        <f t="shared" si="1"/>
        <v>0</v>
      </c>
      <c r="AB34" s="10">
        <v>46022</v>
      </c>
    </row>
    <row r="35" spans="1:28" x14ac:dyDescent="0.45">
      <c r="A35" t="str">
        <f t="shared" si="0"/>
        <v>LLLF-3-4</v>
      </c>
      <c r="B35" t="s">
        <v>12</v>
      </c>
      <c r="C35" t="s">
        <v>197</v>
      </c>
      <c r="D35" t="s">
        <v>149</v>
      </c>
      <c r="E35" t="s">
        <v>28</v>
      </c>
      <c r="F35" t="s">
        <v>16</v>
      </c>
      <c r="G35" t="s">
        <v>29</v>
      </c>
      <c r="I35" s="4">
        <v>24000</v>
      </c>
      <c r="K35">
        <v>48</v>
      </c>
      <c r="L35">
        <v>500</v>
      </c>
      <c r="M35">
        <v>24000</v>
      </c>
      <c r="N35" s="2">
        <v>45139</v>
      </c>
      <c r="O35" s="2">
        <v>45139</v>
      </c>
      <c r="P35" t="s">
        <v>198</v>
      </c>
      <c r="Q35" t="s">
        <v>199</v>
      </c>
      <c r="R35" t="s">
        <v>200</v>
      </c>
      <c r="S35" t="s">
        <v>201</v>
      </c>
      <c r="U35" t="s">
        <v>202</v>
      </c>
      <c r="W35" t="s">
        <v>203</v>
      </c>
      <c r="X35" t="s">
        <v>25</v>
      </c>
      <c r="Y35" s="9">
        <v>14500</v>
      </c>
      <c r="Z35" s="9">
        <v>12980</v>
      </c>
      <c r="AA35" s="1">
        <f t="shared" si="1"/>
        <v>1520</v>
      </c>
      <c r="AB35" s="10">
        <v>46022</v>
      </c>
    </row>
    <row r="36" spans="1:28" x14ac:dyDescent="0.45">
      <c r="A36" t="str">
        <f t="shared" si="0"/>
        <v>LLLF-3-5</v>
      </c>
      <c r="B36" t="s">
        <v>12</v>
      </c>
      <c r="C36" t="s">
        <v>204</v>
      </c>
      <c r="E36" t="s">
        <v>28</v>
      </c>
      <c r="G36" t="s">
        <v>29</v>
      </c>
      <c r="I36" s="4">
        <v>24000</v>
      </c>
      <c r="K36">
        <v>48</v>
      </c>
      <c r="L36">
        <v>500</v>
      </c>
      <c r="M36">
        <v>24000</v>
      </c>
      <c r="N36" s="2">
        <v>45131</v>
      </c>
      <c r="O36" s="2">
        <v>45131</v>
      </c>
      <c r="P36" t="s">
        <v>205</v>
      </c>
      <c r="Q36" t="s">
        <v>206</v>
      </c>
      <c r="R36" t="s">
        <v>207</v>
      </c>
      <c r="S36" t="s">
        <v>208</v>
      </c>
      <c r="T36" t="s">
        <v>61</v>
      </c>
      <c r="U36" t="s">
        <v>209</v>
      </c>
      <c r="X36" t="s">
        <v>25</v>
      </c>
      <c r="Y36" s="9">
        <v>14500</v>
      </c>
      <c r="Z36" s="9">
        <v>14050</v>
      </c>
      <c r="AA36" s="1">
        <f t="shared" si="1"/>
        <v>450</v>
      </c>
      <c r="AB36" s="10">
        <v>46022</v>
      </c>
    </row>
    <row r="37" spans="1:28" x14ac:dyDescent="0.45">
      <c r="A37" t="str">
        <f t="shared" si="0"/>
        <v>MN2A-1</v>
      </c>
      <c r="B37" t="s">
        <v>245</v>
      </c>
      <c r="C37" t="s">
        <v>246</v>
      </c>
      <c r="D37" t="s">
        <v>14</v>
      </c>
      <c r="E37" t="s">
        <v>55</v>
      </c>
      <c r="F37" t="s">
        <v>16</v>
      </c>
      <c r="G37" t="s">
        <v>16</v>
      </c>
      <c r="I37">
        <v>40900</v>
      </c>
      <c r="J37">
        <v>17500</v>
      </c>
      <c r="K37">
        <v>36</v>
      </c>
      <c r="L37">
        <v>650</v>
      </c>
      <c r="M37">
        <v>23400</v>
      </c>
      <c r="N37" s="2">
        <v>44470</v>
      </c>
      <c r="O37" s="2">
        <v>44510</v>
      </c>
      <c r="P37" t="s">
        <v>247</v>
      </c>
      <c r="Q37" t="s">
        <v>248</v>
      </c>
      <c r="S37" t="s">
        <v>249</v>
      </c>
      <c r="T37" t="s">
        <v>61</v>
      </c>
      <c r="U37" t="s">
        <v>146</v>
      </c>
      <c r="V37" t="s">
        <v>250</v>
      </c>
      <c r="X37" t="s">
        <v>251</v>
      </c>
      <c r="Y37" s="9">
        <v>23400</v>
      </c>
      <c r="Z37" s="9">
        <v>22650</v>
      </c>
      <c r="AA37" s="1">
        <f t="shared" si="1"/>
        <v>750</v>
      </c>
      <c r="AB37" s="10">
        <v>46022</v>
      </c>
    </row>
    <row r="38" spans="1:28" x14ac:dyDescent="0.45">
      <c r="A38" t="str">
        <f t="shared" si="0"/>
        <v>MN2A-3</v>
      </c>
      <c r="B38" t="s">
        <v>245</v>
      </c>
      <c r="C38" t="s">
        <v>252</v>
      </c>
      <c r="D38" t="s">
        <v>14</v>
      </c>
      <c r="E38" t="s">
        <v>15</v>
      </c>
      <c r="F38" t="s">
        <v>16</v>
      </c>
      <c r="G38" t="s">
        <v>16</v>
      </c>
      <c r="I38">
        <v>31000</v>
      </c>
      <c r="K38">
        <v>0</v>
      </c>
      <c r="L38">
        <v>0</v>
      </c>
      <c r="M38">
        <v>0</v>
      </c>
      <c r="N38" s="2">
        <v>44469</v>
      </c>
      <c r="O38" s="2">
        <v>44469</v>
      </c>
      <c r="P38" t="s">
        <v>253</v>
      </c>
      <c r="Q38" t="s">
        <v>254</v>
      </c>
      <c r="S38" t="s">
        <v>255</v>
      </c>
      <c r="T38" t="s">
        <v>61</v>
      </c>
      <c r="U38" t="s">
        <v>46</v>
      </c>
      <c r="V38" t="s">
        <v>250</v>
      </c>
      <c r="W38" t="s">
        <v>256</v>
      </c>
      <c r="X38" t="s">
        <v>25</v>
      </c>
      <c r="Y38" s="9">
        <v>0</v>
      </c>
      <c r="Z38" s="9">
        <v>0</v>
      </c>
      <c r="AA38" s="1">
        <f t="shared" si="1"/>
        <v>0</v>
      </c>
      <c r="AB38" s="10">
        <v>46022</v>
      </c>
    </row>
    <row r="39" spans="1:28" x14ac:dyDescent="0.45">
      <c r="A39" t="str">
        <f t="shared" si="0"/>
        <v>MN2A-4</v>
      </c>
      <c r="B39" t="s">
        <v>245</v>
      </c>
      <c r="C39" t="s">
        <v>257</v>
      </c>
      <c r="D39" t="s">
        <v>14</v>
      </c>
      <c r="E39" t="s">
        <v>55</v>
      </c>
      <c r="F39" t="s">
        <v>16</v>
      </c>
      <c r="G39" t="s">
        <v>258</v>
      </c>
      <c r="I39">
        <v>35500</v>
      </c>
      <c r="J39">
        <v>17500</v>
      </c>
      <c r="K39">
        <v>36</v>
      </c>
      <c r="L39">
        <v>500</v>
      </c>
      <c r="M39">
        <v>18000</v>
      </c>
      <c r="N39" s="2">
        <v>44470</v>
      </c>
      <c r="O39" s="2">
        <v>44510</v>
      </c>
      <c r="P39" t="s">
        <v>259</v>
      </c>
      <c r="Q39" t="s">
        <v>260</v>
      </c>
      <c r="S39" t="s">
        <v>261</v>
      </c>
      <c r="T39" t="s">
        <v>262</v>
      </c>
      <c r="U39" t="s">
        <v>263</v>
      </c>
      <c r="V39" t="s">
        <v>105</v>
      </c>
      <c r="W39" t="s">
        <v>264</v>
      </c>
      <c r="X39" t="s">
        <v>291</v>
      </c>
      <c r="Y39" s="9">
        <v>18000</v>
      </c>
      <c r="Z39" s="9">
        <v>16480</v>
      </c>
      <c r="AA39" s="1">
        <f t="shared" si="1"/>
        <v>1520</v>
      </c>
      <c r="AB39" s="10">
        <v>46022</v>
      </c>
    </row>
    <row r="40" spans="1:28" x14ac:dyDescent="0.45">
      <c r="A40" t="str">
        <f t="shared" si="0"/>
        <v>MN2A-5</v>
      </c>
      <c r="B40" t="s">
        <v>245</v>
      </c>
      <c r="C40" t="s">
        <v>265</v>
      </c>
      <c r="D40" t="s">
        <v>14</v>
      </c>
      <c r="E40" t="s">
        <v>55</v>
      </c>
      <c r="F40" t="s">
        <v>16</v>
      </c>
      <c r="G40" t="s">
        <v>258</v>
      </c>
      <c r="I40">
        <v>35500</v>
      </c>
      <c r="J40">
        <v>17500</v>
      </c>
      <c r="K40">
        <v>36</v>
      </c>
      <c r="L40">
        <v>500</v>
      </c>
      <c r="M40">
        <v>18000</v>
      </c>
      <c r="N40" s="2">
        <v>44470</v>
      </c>
      <c r="O40" s="2">
        <v>44510</v>
      </c>
      <c r="P40" t="s">
        <v>259</v>
      </c>
      <c r="Q40" t="s">
        <v>260</v>
      </c>
      <c r="S40" t="s">
        <v>261</v>
      </c>
      <c r="T40" t="s">
        <v>262</v>
      </c>
      <c r="U40" t="s">
        <v>263</v>
      </c>
      <c r="V40" t="s">
        <v>105</v>
      </c>
      <c r="W40" t="s">
        <v>264</v>
      </c>
      <c r="X40" t="s">
        <v>291</v>
      </c>
      <c r="Y40" s="9">
        <v>18000</v>
      </c>
      <c r="Z40" s="9">
        <v>17550</v>
      </c>
      <c r="AA40" s="1">
        <f t="shared" si="1"/>
        <v>450</v>
      </c>
      <c r="AB40" s="10">
        <v>46022</v>
      </c>
    </row>
    <row r="41" spans="1:28" x14ac:dyDescent="0.45">
      <c r="A41" t="str">
        <f t="shared" si="0"/>
        <v>MN2A-6</v>
      </c>
      <c r="B41" t="s">
        <v>245</v>
      </c>
      <c r="C41" t="s">
        <v>266</v>
      </c>
      <c r="D41" t="s">
        <v>14</v>
      </c>
      <c r="E41" t="s">
        <v>55</v>
      </c>
      <c r="F41" t="s">
        <v>16</v>
      </c>
      <c r="G41" t="s">
        <v>16</v>
      </c>
      <c r="H41" t="s">
        <v>56</v>
      </c>
      <c r="I41">
        <v>35500</v>
      </c>
      <c r="J41">
        <v>17500</v>
      </c>
      <c r="K41">
        <v>36</v>
      </c>
      <c r="L41">
        <v>500</v>
      </c>
      <c r="M41">
        <v>18000</v>
      </c>
      <c r="N41" s="2">
        <v>44525</v>
      </c>
      <c r="O41" s="2">
        <v>44510</v>
      </c>
      <c r="P41" t="s">
        <v>267</v>
      </c>
      <c r="Q41" t="s">
        <v>268</v>
      </c>
      <c r="S41" t="s">
        <v>269</v>
      </c>
      <c r="T41" t="s">
        <v>61</v>
      </c>
      <c r="U41" t="s">
        <v>270</v>
      </c>
      <c r="V41" t="s">
        <v>24</v>
      </c>
      <c r="W41" t="s">
        <v>256</v>
      </c>
      <c r="X41" t="s">
        <v>25</v>
      </c>
      <c r="Y41" s="9">
        <v>18000</v>
      </c>
      <c r="Z41" s="9">
        <v>16480</v>
      </c>
      <c r="AA41" s="1">
        <f t="shared" si="1"/>
        <v>1520</v>
      </c>
      <c r="AB41" s="10">
        <v>46022</v>
      </c>
    </row>
    <row r="42" spans="1:28" x14ac:dyDescent="0.45">
      <c r="A42" t="str">
        <f t="shared" si="0"/>
        <v>MN2A-7</v>
      </c>
      <c r="B42" t="s">
        <v>245</v>
      </c>
      <c r="C42" t="s">
        <v>271</v>
      </c>
      <c r="D42" t="s">
        <v>14</v>
      </c>
      <c r="E42" t="s">
        <v>55</v>
      </c>
      <c r="F42" t="s">
        <v>16</v>
      </c>
      <c r="G42" t="s">
        <v>258</v>
      </c>
      <c r="I42">
        <v>75000</v>
      </c>
      <c r="J42">
        <v>11550</v>
      </c>
      <c r="K42">
        <v>47</v>
      </c>
      <c r="L42">
        <v>1350</v>
      </c>
      <c r="M42">
        <v>63450</v>
      </c>
      <c r="N42" s="2">
        <v>45338</v>
      </c>
      <c r="O42" s="2">
        <v>45338</v>
      </c>
      <c r="P42" t="s">
        <v>272</v>
      </c>
      <c r="Q42" t="s">
        <v>273</v>
      </c>
      <c r="S42" t="s">
        <v>274</v>
      </c>
      <c r="T42" t="s">
        <v>61</v>
      </c>
      <c r="U42" t="s">
        <v>275</v>
      </c>
      <c r="V42" t="s">
        <v>276</v>
      </c>
      <c r="W42" t="s">
        <v>264</v>
      </c>
      <c r="X42" t="s">
        <v>291</v>
      </c>
      <c r="Y42" s="9">
        <v>63450</v>
      </c>
      <c r="Z42" s="9">
        <v>63000</v>
      </c>
      <c r="AA42" s="1">
        <f t="shared" si="1"/>
        <v>450</v>
      </c>
      <c r="AB42" s="10">
        <v>46022</v>
      </c>
    </row>
    <row r="43" spans="1:28" x14ac:dyDescent="0.45">
      <c r="A43" t="str">
        <f t="shared" si="0"/>
        <v>MN2A-8</v>
      </c>
      <c r="B43" t="s">
        <v>245</v>
      </c>
      <c r="C43" t="s">
        <v>277</v>
      </c>
      <c r="D43" t="s">
        <v>14</v>
      </c>
      <c r="E43" t="s">
        <v>55</v>
      </c>
      <c r="F43" t="s">
        <v>16</v>
      </c>
      <c r="G43" t="s">
        <v>258</v>
      </c>
      <c r="I43">
        <v>69600</v>
      </c>
      <c r="J43">
        <v>6140</v>
      </c>
      <c r="K43">
        <v>47</v>
      </c>
      <c r="L43" s="8">
        <v>1350.2</v>
      </c>
      <c r="M43">
        <v>63459.4</v>
      </c>
      <c r="N43" s="2">
        <v>45338</v>
      </c>
      <c r="O43" s="2">
        <v>45338</v>
      </c>
      <c r="P43" t="s">
        <v>278</v>
      </c>
      <c r="Q43" t="s">
        <v>279</v>
      </c>
      <c r="S43" t="s">
        <v>274</v>
      </c>
      <c r="T43" t="s">
        <v>61</v>
      </c>
      <c r="U43" t="s">
        <v>280</v>
      </c>
      <c r="V43" t="s">
        <v>63</v>
      </c>
      <c r="W43" t="s">
        <v>256</v>
      </c>
      <c r="X43" t="s">
        <v>25</v>
      </c>
      <c r="Y43" s="9">
        <v>63450</v>
      </c>
      <c r="Z43" s="9">
        <v>61930</v>
      </c>
      <c r="AA43" s="1">
        <f t="shared" si="1"/>
        <v>1520</v>
      </c>
      <c r="AB43" s="10">
        <v>46022</v>
      </c>
    </row>
    <row r="44" spans="1:28" x14ac:dyDescent="0.45">
      <c r="A44" t="str">
        <f t="shared" si="0"/>
        <v>MN2A-9</v>
      </c>
      <c r="B44" t="s">
        <v>245</v>
      </c>
      <c r="C44" t="s">
        <v>281</v>
      </c>
      <c r="D44" t="s">
        <v>14</v>
      </c>
      <c r="E44" t="s">
        <v>55</v>
      </c>
      <c r="F44" t="s">
        <v>16</v>
      </c>
      <c r="G44" t="s">
        <v>16</v>
      </c>
      <c r="I44">
        <v>34000</v>
      </c>
      <c r="J44">
        <v>16000</v>
      </c>
      <c r="K44">
        <v>36</v>
      </c>
      <c r="L44">
        <v>500</v>
      </c>
      <c r="M44">
        <v>18000</v>
      </c>
      <c r="N44" s="2">
        <v>44504</v>
      </c>
      <c r="O44" s="2">
        <v>44540</v>
      </c>
      <c r="P44" t="s">
        <v>282</v>
      </c>
      <c r="Q44" t="s">
        <v>283</v>
      </c>
      <c r="S44" t="s">
        <v>284</v>
      </c>
      <c r="T44" t="s">
        <v>61</v>
      </c>
      <c r="U44" t="s">
        <v>285</v>
      </c>
      <c r="V44" t="s">
        <v>105</v>
      </c>
      <c r="W44" t="s">
        <v>256</v>
      </c>
      <c r="X44" t="s">
        <v>25</v>
      </c>
      <c r="Y44" s="9">
        <v>18000</v>
      </c>
      <c r="Z44" s="9">
        <v>16480</v>
      </c>
      <c r="AA44" s="1">
        <f t="shared" si="1"/>
        <v>1520</v>
      </c>
      <c r="AB44" s="10">
        <v>46022</v>
      </c>
    </row>
    <row r="45" spans="1:28" x14ac:dyDescent="0.45">
      <c r="A45" t="str">
        <f t="shared" si="0"/>
        <v>MN2B-1</v>
      </c>
      <c r="B45" t="s">
        <v>245</v>
      </c>
      <c r="C45" t="s">
        <v>286</v>
      </c>
      <c r="E45" t="s">
        <v>28</v>
      </c>
      <c r="F45" t="s">
        <v>16</v>
      </c>
      <c r="G45" t="s">
        <v>29</v>
      </c>
      <c r="I45">
        <v>73920</v>
      </c>
      <c r="J45">
        <v>0</v>
      </c>
      <c r="K45">
        <v>96</v>
      </c>
      <c r="L45">
        <v>770</v>
      </c>
      <c r="M45">
        <v>73920</v>
      </c>
      <c r="N45" s="2">
        <v>45595</v>
      </c>
      <c r="O45" s="2">
        <v>45595</v>
      </c>
      <c r="P45" t="s">
        <v>287</v>
      </c>
      <c r="Q45" t="s">
        <v>288</v>
      </c>
      <c r="S45" t="s">
        <v>289</v>
      </c>
      <c r="T45" t="s">
        <v>262</v>
      </c>
      <c r="U45" t="s">
        <v>290</v>
      </c>
      <c r="V45" t="s">
        <v>47</v>
      </c>
      <c r="X45" t="s">
        <v>37</v>
      </c>
      <c r="Y45" s="9">
        <v>73920</v>
      </c>
      <c r="Z45" s="9">
        <v>73470</v>
      </c>
      <c r="AA45" s="1">
        <f t="shared" si="1"/>
        <v>450</v>
      </c>
      <c r="AB45" s="10">
        <v>46022</v>
      </c>
    </row>
    <row r="46" spans="1:28" x14ac:dyDescent="0.45">
      <c r="A46" t="str">
        <f t="shared" si="0"/>
        <v>MN3101-86</v>
      </c>
      <c r="B46" t="s">
        <v>292</v>
      </c>
      <c r="C46" t="s">
        <v>293</v>
      </c>
      <c r="D46" t="s">
        <v>14</v>
      </c>
      <c r="E46" t="s">
        <v>28</v>
      </c>
      <c r="F46" t="s">
        <v>16</v>
      </c>
      <c r="H46" t="s">
        <v>56</v>
      </c>
      <c r="I46">
        <v>48000</v>
      </c>
      <c r="K46">
        <v>48</v>
      </c>
      <c r="L46">
        <v>1000</v>
      </c>
      <c r="M46">
        <v>48000</v>
      </c>
      <c r="N46" s="2">
        <v>45064</v>
      </c>
      <c r="O46" s="2">
        <v>45064</v>
      </c>
      <c r="P46" t="s">
        <v>294</v>
      </c>
      <c r="Q46" t="s">
        <v>295</v>
      </c>
      <c r="R46" t="s">
        <v>296</v>
      </c>
      <c r="S46" t="s">
        <v>297</v>
      </c>
      <c r="T46" t="s">
        <v>34</v>
      </c>
      <c r="U46" t="s">
        <v>298</v>
      </c>
      <c r="X46" t="s">
        <v>256</v>
      </c>
      <c r="Y46" s="9">
        <v>48000</v>
      </c>
      <c r="Z46" s="9">
        <v>47250</v>
      </c>
      <c r="AA46" s="1">
        <f t="shared" si="1"/>
        <v>750</v>
      </c>
      <c r="AB46" s="10">
        <v>46022</v>
      </c>
    </row>
    <row r="47" spans="1:28" x14ac:dyDescent="0.45">
      <c r="A47" t="str">
        <f t="shared" si="0"/>
        <v>MN3101-87</v>
      </c>
      <c r="B47" t="s">
        <v>292</v>
      </c>
      <c r="C47" t="s">
        <v>299</v>
      </c>
      <c r="D47" t="s">
        <v>14</v>
      </c>
      <c r="E47" t="s">
        <v>15</v>
      </c>
      <c r="I47">
        <v>40500</v>
      </c>
      <c r="K47">
        <v>0</v>
      </c>
      <c r="L47">
        <v>0</v>
      </c>
      <c r="M47">
        <v>0</v>
      </c>
      <c r="N47" s="2">
        <v>45238</v>
      </c>
      <c r="P47" t="s">
        <v>300</v>
      </c>
      <c r="Q47" t="s">
        <v>301</v>
      </c>
      <c r="R47" t="s">
        <v>302</v>
      </c>
      <c r="S47" t="s">
        <v>303</v>
      </c>
      <c r="T47" t="s">
        <v>61</v>
      </c>
      <c r="U47" t="s">
        <v>118</v>
      </c>
      <c r="X47" t="s">
        <v>251</v>
      </c>
      <c r="Y47" s="9">
        <v>0</v>
      </c>
      <c r="Z47" s="9">
        <v>0</v>
      </c>
      <c r="AA47" s="1">
        <f t="shared" si="1"/>
        <v>0</v>
      </c>
      <c r="AB47" s="10">
        <v>46022</v>
      </c>
    </row>
    <row r="48" spans="1:28" x14ac:dyDescent="0.45">
      <c r="A48" t="str">
        <f t="shared" si="0"/>
        <v>MN3101-88</v>
      </c>
      <c r="B48" t="s">
        <v>292</v>
      </c>
      <c r="C48" t="s">
        <v>304</v>
      </c>
      <c r="E48" t="s">
        <v>15</v>
      </c>
      <c r="K48">
        <v>0</v>
      </c>
      <c r="L48">
        <v>0</v>
      </c>
      <c r="M48">
        <v>0</v>
      </c>
      <c r="N48" s="2">
        <v>44917</v>
      </c>
      <c r="P48" t="s">
        <v>305</v>
      </c>
      <c r="Q48" t="s">
        <v>306</v>
      </c>
      <c r="R48" t="s">
        <v>307</v>
      </c>
      <c r="S48" t="s">
        <v>308</v>
      </c>
      <c r="T48" t="s">
        <v>309</v>
      </c>
      <c r="U48" t="s">
        <v>118</v>
      </c>
      <c r="X48" t="s">
        <v>264</v>
      </c>
      <c r="Y48" s="9">
        <v>0</v>
      </c>
      <c r="Z48" s="9">
        <v>0</v>
      </c>
      <c r="AA48" s="1">
        <f t="shared" si="1"/>
        <v>0</v>
      </c>
      <c r="AB48" s="10">
        <v>46022</v>
      </c>
    </row>
    <row r="49" spans="1:28" x14ac:dyDescent="0.45">
      <c r="A49" t="str">
        <f t="shared" si="0"/>
        <v>MN3101-89</v>
      </c>
      <c r="B49" t="s">
        <v>292</v>
      </c>
      <c r="C49" t="s">
        <v>310</v>
      </c>
      <c r="D49" t="s">
        <v>14</v>
      </c>
      <c r="E49" t="s">
        <v>55</v>
      </c>
      <c r="F49" t="s">
        <v>16</v>
      </c>
      <c r="I49">
        <v>50776</v>
      </c>
      <c r="J49">
        <v>25000</v>
      </c>
      <c r="K49">
        <v>48</v>
      </c>
      <c r="L49">
        <v>537</v>
      </c>
      <c r="M49">
        <v>25776</v>
      </c>
      <c r="N49" s="2">
        <v>44904</v>
      </c>
      <c r="O49" s="2">
        <v>44962</v>
      </c>
      <c r="P49" t="s">
        <v>311</v>
      </c>
      <c r="Q49" t="s">
        <v>312</v>
      </c>
      <c r="R49" t="s">
        <v>313</v>
      </c>
      <c r="S49" t="s">
        <v>314</v>
      </c>
      <c r="T49" t="s">
        <v>61</v>
      </c>
      <c r="U49" t="s">
        <v>315</v>
      </c>
      <c r="X49" t="s">
        <v>251</v>
      </c>
      <c r="Y49" s="9">
        <v>25776</v>
      </c>
      <c r="Z49" s="9">
        <v>25776</v>
      </c>
      <c r="AA49" s="1">
        <f t="shared" si="1"/>
        <v>0</v>
      </c>
      <c r="AB49" s="10">
        <v>46022</v>
      </c>
    </row>
  </sheetData>
  <pageMargins left="0.7" right="0.7" top="0.75" bottom="0.75" header="0.3" footer="0.3"/>
  <pageSetup paperSize="275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5942-8B10-4F05-8542-D8819BA4E083}">
  <dimension ref="A1:C121"/>
  <sheetViews>
    <sheetView workbookViewId="0">
      <selection sqref="A1:A121"/>
    </sheetView>
  </sheetViews>
  <sheetFormatPr baseColWidth="10" defaultRowHeight="14.25" x14ac:dyDescent="0.45"/>
  <cols>
    <col min="1" max="1" width="13.265625" style="5" bestFit="1" customWidth="1"/>
    <col min="2" max="2" width="10.6640625" style="1"/>
    <col min="3" max="3" width="25.3984375" customWidth="1"/>
  </cols>
  <sheetData>
    <row r="1" spans="1:3" x14ac:dyDescent="0.45">
      <c r="A1" s="6" t="s">
        <v>210</v>
      </c>
      <c r="B1" s="1" t="s">
        <v>211</v>
      </c>
      <c r="C1" t="s">
        <v>212</v>
      </c>
    </row>
    <row r="2" spans="1:3" x14ac:dyDescent="0.45">
      <c r="A2" s="6" t="s">
        <v>0</v>
      </c>
      <c r="B2" s="1" t="s">
        <v>211</v>
      </c>
      <c r="C2" t="s">
        <v>215</v>
      </c>
    </row>
    <row r="3" spans="1:3" x14ac:dyDescent="0.45">
      <c r="A3" s="6" t="s">
        <v>214</v>
      </c>
      <c r="B3" s="1" t="s">
        <v>211</v>
      </c>
      <c r="C3" t="s">
        <v>216</v>
      </c>
    </row>
    <row r="4" spans="1:3" x14ac:dyDescent="0.45">
      <c r="A4" s="6" t="s">
        <v>1</v>
      </c>
      <c r="B4" s="1" t="s">
        <v>211</v>
      </c>
      <c r="C4" t="s">
        <v>217</v>
      </c>
    </row>
    <row r="5" spans="1:3" x14ac:dyDescent="0.45">
      <c r="A5" s="6" t="s">
        <v>71</v>
      </c>
      <c r="B5" s="1" t="s">
        <v>211</v>
      </c>
      <c r="C5" t="s">
        <v>220</v>
      </c>
    </row>
    <row r="6" spans="1:3" x14ac:dyDescent="0.45">
      <c r="A6" s="6" t="s">
        <v>72</v>
      </c>
      <c r="B6" s="1" t="s">
        <v>211</v>
      </c>
      <c r="C6" t="s">
        <v>223</v>
      </c>
    </row>
    <row r="7" spans="1:3" x14ac:dyDescent="0.45">
      <c r="A7" s="6" t="s">
        <v>2</v>
      </c>
      <c r="B7" s="1" t="s">
        <v>211</v>
      </c>
      <c r="C7" t="s">
        <v>224</v>
      </c>
    </row>
    <row r="8" spans="1:3" x14ac:dyDescent="0.45">
      <c r="A8" s="6" t="s">
        <v>213</v>
      </c>
      <c r="B8" s="1" t="s">
        <v>211</v>
      </c>
      <c r="C8" t="s">
        <v>218</v>
      </c>
    </row>
    <row r="9" spans="1:3" x14ac:dyDescent="0.45">
      <c r="A9" s="6" t="s">
        <v>73</v>
      </c>
      <c r="B9" s="1" t="s">
        <v>219</v>
      </c>
      <c r="C9" t="s">
        <v>225</v>
      </c>
    </row>
    <row r="10" spans="1:3" x14ac:dyDescent="0.45">
      <c r="A10" s="6" t="s">
        <v>74</v>
      </c>
      <c r="B10" s="1" t="s">
        <v>219</v>
      </c>
      <c r="C10" t="s">
        <v>226</v>
      </c>
    </row>
    <row r="11" spans="1:3" x14ac:dyDescent="0.45">
      <c r="A11" s="6" t="s">
        <v>3</v>
      </c>
      <c r="B11" s="1" t="s">
        <v>219</v>
      </c>
      <c r="C11" t="s">
        <v>227</v>
      </c>
    </row>
    <row r="12" spans="1:3" x14ac:dyDescent="0.45">
      <c r="A12" s="6" t="s">
        <v>4</v>
      </c>
      <c r="B12" s="1" t="s">
        <v>219</v>
      </c>
      <c r="C12" t="s">
        <v>228</v>
      </c>
    </row>
    <row r="13" spans="1:3" x14ac:dyDescent="0.45">
      <c r="A13" s="6" t="s">
        <v>5</v>
      </c>
      <c r="B13" s="1" t="s">
        <v>219</v>
      </c>
      <c r="C13" t="s">
        <v>229</v>
      </c>
    </row>
    <row r="14" spans="1:3" x14ac:dyDescent="0.45">
      <c r="A14" s="6" t="s">
        <v>75</v>
      </c>
      <c r="B14" s="1" t="s">
        <v>221</v>
      </c>
      <c r="C14" t="s">
        <v>230</v>
      </c>
    </row>
    <row r="15" spans="1:3" x14ac:dyDescent="0.45">
      <c r="A15" s="6" t="s">
        <v>76</v>
      </c>
      <c r="B15" s="1" t="s">
        <v>221</v>
      </c>
      <c r="C15" t="s">
        <v>231</v>
      </c>
    </row>
    <row r="16" spans="1:3" x14ac:dyDescent="0.45">
      <c r="A16" s="6" t="s">
        <v>6</v>
      </c>
      <c r="B16" s="1" t="s">
        <v>211</v>
      </c>
      <c r="C16" t="s">
        <v>240</v>
      </c>
    </row>
    <row r="17" spans="1:3" x14ac:dyDescent="0.45">
      <c r="A17" s="6" t="s">
        <v>7</v>
      </c>
      <c r="B17" s="1" t="s">
        <v>211</v>
      </c>
      <c r="C17" t="s">
        <v>232</v>
      </c>
    </row>
    <row r="18" spans="1:3" x14ac:dyDescent="0.45">
      <c r="A18" s="6" t="s">
        <v>8</v>
      </c>
      <c r="B18" s="1" t="s">
        <v>211</v>
      </c>
      <c r="C18" t="s">
        <v>239</v>
      </c>
    </row>
    <row r="19" spans="1:3" x14ac:dyDescent="0.45">
      <c r="A19" s="6" t="s">
        <v>9</v>
      </c>
      <c r="B19" s="1" t="s">
        <v>211</v>
      </c>
      <c r="C19" t="s">
        <v>237</v>
      </c>
    </row>
    <row r="20" spans="1:3" x14ac:dyDescent="0.45">
      <c r="A20" s="6" t="s">
        <v>222</v>
      </c>
      <c r="B20" s="1" t="s">
        <v>211</v>
      </c>
      <c r="C20" t="s">
        <v>238</v>
      </c>
    </row>
    <row r="21" spans="1:3" x14ac:dyDescent="0.45">
      <c r="A21" s="6" t="s">
        <v>242</v>
      </c>
      <c r="B21" s="1" t="s">
        <v>211</v>
      </c>
      <c r="C21" t="s">
        <v>233</v>
      </c>
    </row>
    <row r="22" spans="1:3" x14ac:dyDescent="0.45">
      <c r="A22" s="6" t="s">
        <v>243</v>
      </c>
      <c r="B22" s="1" t="s">
        <v>211</v>
      </c>
      <c r="C22" t="s">
        <v>234</v>
      </c>
    </row>
    <row r="23" spans="1:3" x14ac:dyDescent="0.45">
      <c r="A23" s="6" t="s">
        <v>10</v>
      </c>
      <c r="B23" s="1" t="s">
        <v>211</v>
      </c>
      <c r="C23" t="s">
        <v>235</v>
      </c>
    </row>
    <row r="24" spans="1:3" x14ac:dyDescent="0.45">
      <c r="A24" s="6" t="s">
        <v>11</v>
      </c>
      <c r="B24" s="1" t="s">
        <v>211</v>
      </c>
      <c r="C24" t="s">
        <v>236</v>
      </c>
    </row>
    <row r="25" spans="1:3" x14ac:dyDescent="0.45">
      <c r="A25" s="7">
        <v>44378</v>
      </c>
      <c r="B25" s="1" t="s">
        <v>221</v>
      </c>
      <c r="C25" t="s">
        <v>241</v>
      </c>
    </row>
    <row r="26" spans="1:3" x14ac:dyDescent="0.45">
      <c r="A26" s="7">
        <v>44409</v>
      </c>
      <c r="B26" s="1" t="s">
        <v>221</v>
      </c>
      <c r="C26" t="s">
        <v>241</v>
      </c>
    </row>
    <row r="27" spans="1:3" x14ac:dyDescent="0.45">
      <c r="A27" s="7">
        <v>44440</v>
      </c>
      <c r="B27" s="1" t="s">
        <v>221</v>
      </c>
      <c r="C27" t="s">
        <v>241</v>
      </c>
    </row>
    <row r="28" spans="1:3" x14ac:dyDescent="0.45">
      <c r="A28" s="7">
        <v>44470</v>
      </c>
      <c r="B28" s="1" t="s">
        <v>221</v>
      </c>
      <c r="C28" t="s">
        <v>241</v>
      </c>
    </row>
    <row r="29" spans="1:3" x14ac:dyDescent="0.45">
      <c r="A29" s="7">
        <v>44501</v>
      </c>
      <c r="B29" s="1" t="s">
        <v>221</v>
      </c>
      <c r="C29" t="s">
        <v>241</v>
      </c>
    </row>
    <row r="30" spans="1:3" x14ac:dyDescent="0.45">
      <c r="A30" s="7">
        <v>44531</v>
      </c>
      <c r="B30" s="1" t="s">
        <v>221</v>
      </c>
      <c r="C30" t="s">
        <v>241</v>
      </c>
    </row>
    <row r="31" spans="1:3" x14ac:dyDescent="0.45">
      <c r="A31" s="7">
        <v>44562</v>
      </c>
      <c r="B31" s="1" t="s">
        <v>221</v>
      </c>
      <c r="C31" t="s">
        <v>241</v>
      </c>
    </row>
    <row r="32" spans="1:3" x14ac:dyDescent="0.45">
      <c r="A32" s="7">
        <v>44593</v>
      </c>
      <c r="B32" s="1" t="s">
        <v>221</v>
      </c>
      <c r="C32" t="s">
        <v>241</v>
      </c>
    </row>
    <row r="33" spans="1:3" x14ac:dyDescent="0.45">
      <c r="A33" s="7">
        <v>44621</v>
      </c>
      <c r="B33" s="1" t="s">
        <v>221</v>
      </c>
      <c r="C33" t="s">
        <v>241</v>
      </c>
    </row>
    <row r="34" spans="1:3" x14ac:dyDescent="0.45">
      <c r="A34" s="7">
        <v>44652</v>
      </c>
      <c r="B34" s="1" t="s">
        <v>221</v>
      </c>
      <c r="C34" t="s">
        <v>241</v>
      </c>
    </row>
    <row r="35" spans="1:3" x14ac:dyDescent="0.45">
      <c r="A35" s="7">
        <v>44682</v>
      </c>
      <c r="B35" s="1" t="s">
        <v>221</v>
      </c>
      <c r="C35" t="s">
        <v>241</v>
      </c>
    </row>
    <row r="36" spans="1:3" x14ac:dyDescent="0.45">
      <c r="A36" s="7">
        <v>44713</v>
      </c>
      <c r="B36" s="1" t="s">
        <v>221</v>
      </c>
      <c r="C36" t="s">
        <v>241</v>
      </c>
    </row>
    <row r="37" spans="1:3" x14ac:dyDescent="0.45">
      <c r="A37" s="7">
        <v>44743</v>
      </c>
      <c r="B37" s="1" t="s">
        <v>221</v>
      </c>
      <c r="C37" t="s">
        <v>241</v>
      </c>
    </row>
    <row r="38" spans="1:3" x14ac:dyDescent="0.45">
      <c r="A38" s="7">
        <v>44774</v>
      </c>
      <c r="B38" s="1" t="s">
        <v>221</v>
      </c>
      <c r="C38" t="s">
        <v>241</v>
      </c>
    </row>
    <row r="39" spans="1:3" x14ac:dyDescent="0.45">
      <c r="A39" s="7">
        <v>44805</v>
      </c>
      <c r="B39" s="1" t="s">
        <v>221</v>
      </c>
      <c r="C39" t="s">
        <v>241</v>
      </c>
    </row>
    <row r="40" spans="1:3" x14ac:dyDescent="0.45">
      <c r="A40" s="7">
        <v>44835</v>
      </c>
      <c r="B40" s="1" t="s">
        <v>221</v>
      </c>
      <c r="C40" t="s">
        <v>241</v>
      </c>
    </row>
    <row r="41" spans="1:3" x14ac:dyDescent="0.45">
      <c r="A41" s="7">
        <v>44866</v>
      </c>
      <c r="B41" s="1" t="s">
        <v>221</v>
      </c>
      <c r="C41" t="s">
        <v>241</v>
      </c>
    </row>
    <row r="42" spans="1:3" x14ac:dyDescent="0.45">
      <c r="A42" s="7">
        <v>44896</v>
      </c>
      <c r="B42" s="1" t="s">
        <v>221</v>
      </c>
      <c r="C42" t="s">
        <v>241</v>
      </c>
    </row>
    <row r="43" spans="1:3" x14ac:dyDescent="0.45">
      <c r="A43" s="7">
        <v>44927</v>
      </c>
      <c r="B43" s="1" t="s">
        <v>221</v>
      </c>
      <c r="C43" t="s">
        <v>241</v>
      </c>
    </row>
    <row r="44" spans="1:3" x14ac:dyDescent="0.45">
      <c r="A44" s="7">
        <v>44958</v>
      </c>
      <c r="B44" s="1" t="s">
        <v>221</v>
      </c>
      <c r="C44" t="s">
        <v>241</v>
      </c>
    </row>
    <row r="45" spans="1:3" x14ac:dyDescent="0.45">
      <c r="A45" s="7">
        <v>44986</v>
      </c>
      <c r="B45" s="1" t="s">
        <v>221</v>
      </c>
      <c r="C45" t="s">
        <v>241</v>
      </c>
    </row>
    <row r="46" spans="1:3" x14ac:dyDescent="0.45">
      <c r="A46" s="7">
        <v>45017</v>
      </c>
      <c r="B46" s="1" t="s">
        <v>221</v>
      </c>
      <c r="C46" t="s">
        <v>241</v>
      </c>
    </row>
    <row r="47" spans="1:3" x14ac:dyDescent="0.45">
      <c r="A47" s="7">
        <v>45047</v>
      </c>
      <c r="B47" s="1" t="s">
        <v>221</v>
      </c>
      <c r="C47" t="s">
        <v>241</v>
      </c>
    </row>
    <row r="48" spans="1:3" x14ac:dyDescent="0.45">
      <c r="A48" s="7">
        <v>45078</v>
      </c>
      <c r="B48" s="1" t="s">
        <v>221</v>
      </c>
      <c r="C48" t="s">
        <v>241</v>
      </c>
    </row>
    <row r="49" spans="1:3" x14ac:dyDescent="0.45">
      <c r="A49" s="7">
        <v>45108</v>
      </c>
      <c r="B49" s="1" t="s">
        <v>221</v>
      </c>
      <c r="C49" t="s">
        <v>241</v>
      </c>
    </row>
    <row r="50" spans="1:3" x14ac:dyDescent="0.45">
      <c r="A50" s="7">
        <v>45139</v>
      </c>
      <c r="B50" s="1" t="s">
        <v>221</v>
      </c>
      <c r="C50" t="s">
        <v>241</v>
      </c>
    </row>
    <row r="51" spans="1:3" x14ac:dyDescent="0.45">
      <c r="A51" s="7">
        <v>45170</v>
      </c>
      <c r="B51" s="1" t="s">
        <v>221</v>
      </c>
      <c r="C51" t="s">
        <v>241</v>
      </c>
    </row>
    <row r="52" spans="1:3" x14ac:dyDescent="0.45">
      <c r="A52" s="7">
        <v>45200</v>
      </c>
      <c r="B52" s="1" t="s">
        <v>221</v>
      </c>
      <c r="C52" t="s">
        <v>241</v>
      </c>
    </row>
    <row r="53" spans="1:3" x14ac:dyDescent="0.45">
      <c r="A53" s="7">
        <v>45231</v>
      </c>
      <c r="B53" s="1" t="s">
        <v>221</v>
      </c>
      <c r="C53" t="s">
        <v>241</v>
      </c>
    </row>
    <row r="54" spans="1:3" x14ac:dyDescent="0.45">
      <c r="A54" s="7">
        <v>45261</v>
      </c>
      <c r="B54" s="1" t="s">
        <v>221</v>
      </c>
      <c r="C54" t="s">
        <v>241</v>
      </c>
    </row>
    <row r="55" spans="1:3" x14ac:dyDescent="0.45">
      <c r="A55" s="7">
        <v>45292</v>
      </c>
      <c r="B55" s="1" t="s">
        <v>221</v>
      </c>
      <c r="C55" t="s">
        <v>241</v>
      </c>
    </row>
    <row r="56" spans="1:3" x14ac:dyDescent="0.45">
      <c r="A56" s="7">
        <v>45323</v>
      </c>
      <c r="B56" s="1" t="s">
        <v>221</v>
      </c>
      <c r="C56" t="s">
        <v>241</v>
      </c>
    </row>
    <row r="57" spans="1:3" x14ac:dyDescent="0.45">
      <c r="A57" s="7">
        <v>45352</v>
      </c>
      <c r="B57" s="1" t="s">
        <v>221</v>
      </c>
      <c r="C57" t="s">
        <v>241</v>
      </c>
    </row>
    <row r="58" spans="1:3" x14ac:dyDescent="0.45">
      <c r="A58" s="7">
        <v>45383</v>
      </c>
      <c r="B58" s="1" t="s">
        <v>221</v>
      </c>
      <c r="C58" t="s">
        <v>241</v>
      </c>
    </row>
    <row r="59" spans="1:3" x14ac:dyDescent="0.45">
      <c r="A59" s="7">
        <v>45413</v>
      </c>
      <c r="B59" s="1" t="s">
        <v>221</v>
      </c>
      <c r="C59" t="s">
        <v>241</v>
      </c>
    </row>
    <row r="60" spans="1:3" x14ac:dyDescent="0.45">
      <c r="A60" s="7">
        <v>45444</v>
      </c>
      <c r="B60" s="1" t="s">
        <v>221</v>
      </c>
      <c r="C60" t="s">
        <v>241</v>
      </c>
    </row>
    <row r="61" spans="1:3" x14ac:dyDescent="0.45">
      <c r="A61" s="7">
        <v>45474</v>
      </c>
      <c r="B61" s="1" t="s">
        <v>221</v>
      </c>
      <c r="C61" t="s">
        <v>241</v>
      </c>
    </row>
    <row r="62" spans="1:3" x14ac:dyDescent="0.45">
      <c r="A62" s="7">
        <v>45505</v>
      </c>
      <c r="B62" s="1" t="s">
        <v>221</v>
      </c>
      <c r="C62" t="s">
        <v>241</v>
      </c>
    </row>
    <row r="63" spans="1:3" x14ac:dyDescent="0.45">
      <c r="A63" s="7">
        <v>45536</v>
      </c>
      <c r="B63" s="1" t="s">
        <v>221</v>
      </c>
      <c r="C63" t="s">
        <v>241</v>
      </c>
    </row>
    <row r="64" spans="1:3" x14ac:dyDescent="0.45">
      <c r="A64" s="7">
        <v>45566</v>
      </c>
      <c r="B64" s="1" t="s">
        <v>221</v>
      </c>
      <c r="C64" t="s">
        <v>241</v>
      </c>
    </row>
    <row r="65" spans="1:3" x14ac:dyDescent="0.45">
      <c r="A65" s="7">
        <v>45597</v>
      </c>
      <c r="B65" s="1" t="s">
        <v>221</v>
      </c>
      <c r="C65" t="s">
        <v>241</v>
      </c>
    </row>
    <row r="66" spans="1:3" x14ac:dyDescent="0.45">
      <c r="A66" s="7">
        <v>45627</v>
      </c>
      <c r="B66" s="1" t="s">
        <v>221</v>
      </c>
      <c r="C66" t="s">
        <v>241</v>
      </c>
    </row>
    <row r="67" spans="1:3" x14ac:dyDescent="0.45">
      <c r="A67" s="7">
        <v>45658</v>
      </c>
      <c r="B67" s="1" t="s">
        <v>221</v>
      </c>
      <c r="C67" t="s">
        <v>241</v>
      </c>
    </row>
    <row r="68" spans="1:3" x14ac:dyDescent="0.45">
      <c r="A68" s="7">
        <v>45689</v>
      </c>
      <c r="B68" s="1" t="s">
        <v>221</v>
      </c>
      <c r="C68" t="s">
        <v>241</v>
      </c>
    </row>
    <row r="69" spans="1:3" x14ac:dyDescent="0.45">
      <c r="A69" s="7">
        <v>45717</v>
      </c>
      <c r="B69" s="1" t="s">
        <v>221</v>
      </c>
      <c r="C69" t="s">
        <v>241</v>
      </c>
    </row>
    <row r="70" spans="1:3" x14ac:dyDescent="0.45">
      <c r="A70" s="7">
        <v>45748</v>
      </c>
      <c r="B70" s="1" t="s">
        <v>221</v>
      </c>
      <c r="C70" t="s">
        <v>241</v>
      </c>
    </row>
    <row r="71" spans="1:3" x14ac:dyDescent="0.45">
      <c r="A71" s="7">
        <v>45778</v>
      </c>
      <c r="B71" s="1" t="s">
        <v>221</v>
      </c>
      <c r="C71" t="s">
        <v>241</v>
      </c>
    </row>
    <row r="72" spans="1:3" x14ac:dyDescent="0.45">
      <c r="A72" s="7">
        <v>45809</v>
      </c>
      <c r="B72" s="1" t="s">
        <v>221</v>
      </c>
      <c r="C72" t="s">
        <v>241</v>
      </c>
    </row>
    <row r="73" spans="1:3" x14ac:dyDescent="0.45">
      <c r="A73" s="7">
        <v>45839</v>
      </c>
      <c r="B73" s="1" t="s">
        <v>221</v>
      </c>
      <c r="C73" t="s">
        <v>241</v>
      </c>
    </row>
    <row r="74" spans="1:3" x14ac:dyDescent="0.45">
      <c r="A74" s="7">
        <v>45870</v>
      </c>
      <c r="B74" s="1" t="s">
        <v>221</v>
      </c>
      <c r="C74" t="s">
        <v>241</v>
      </c>
    </row>
    <row r="75" spans="1:3" x14ac:dyDescent="0.45">
      <c r="A75" s="7">
        <v>45901</v>
      </c>
      <c r="B75" s="1" t="s">
        <v>221</v>
      </c>
      <c r="C75" t="s">
        <v>241</v>
      </c>
    </row>
    <row r="76" spans="1:3" x14ac:dyDescent="0.45">
      <c r="A76" s="7">
        <v>45931</v>
      </c>
      <c r="B76" s="1" t="s">
        <v>221</v>
      </c>
      <c r="C76" t="s">
        <v>241</v>
      </c>
    </row>
    <row r="77" spans="1:3" x14ac:dyDescent="0.45">
      <c r="A77" s="7">
        <v>45962</v>
      </c>
      <c r="B77" s="1" t="s">
        <v>221</v>
      </c>
      <c r="C77" t="s">
        <v>241</v>
      </c>
    </row>
    <row r="78" spans="1:3" x14ac:dyDescent="0.45">
      <c r="A78" s="7">
        <v>45992</v>
      </c>
      <c r="B78" s="1" t="s">
        <v>221</v>
      </c>
      <c r="C78" t="s">
        <v>241</v>
      </c>
    </row>
    <row r="79" spans="1:3" x14ac:dyDescent="0.45">
      <c r="A79" s="7">
        <v>46023</v>
      </c>
      <c r="B79" s="1" t="s">
        <v>221</v>
      </c>
      <c r="C79" t="s">
        <v>241</v>
      </c>
    </row>
    <row r="80" spans="1:3" x14ac:dyDescent="0.45">
      <c r="A80" s="7">
        <v>46054</v>
      </c>
      <c r="B80" s="1" t="s">
        <v>221</v>
      </c>
      <c r="C80" t="s">
        <v>241</v>
      </c>
    </row>
    <row r="81" spans="1:3" x14ac:dyDescent="0.45">
      <c r="A81" s="7">
        <v>46082</v>
      </c>
      <c r="B81" s="1" t="s">
        <v>221</v>
      </c>
      <c r="C81" t="s">
        <v>241</v>
      </c>
    </row>
    <row r="82" spans="1:3" x14ac:dyDescent="0.45">
      <c r="A82" s="7">
        <v>46113</v>
      </c>
      <c r="B82" s="1" t="s">
        <v>221</v>
      </c>
      <c r="C82" t="s">
        <v>241</v>
      </c>
    </row>
    <row r="83" spans="1:3" x14ac:dyDescent="0.45">
      <c r="A83" s="7">
        <v>46143</v>
      </c>
      <c r="B83" s="1" t="s">
        <v>221</v>
      </c>
      <c r="C83" t="s">
        <v>241</v>
      </c>
    </row>
    <row r="84" spans="1:3" x14ac:dyDescent="0.45">
      <c r="A84" s="7">
        <v>46174</v>
      </c>
      <c r="B84" s="1" t="s">
        <v>221</v>
      </c>
      <c r="C84" t="s">
        <v>241</v>
      </c>
    </row>
    <row r="85" spans="1:3" x14ac:dyDescent="0.45">
      <c r="A85" s="7">
        <v>46204</v>
      </c>
      <c r="B85" s="1" t="s">
        <v>221</v>
      </c>
      <c r="C85" t="s">
        <v>241</v>
      </c>
    </row>
    <row r="86" spans="1:3" x14ac:dyDescent="0.45">
      <c r="A86" s="7">
        <v>46235</v>
      </c>
      <c r="B86" s="1" t="s">
        <v>221</v>
      </c>
      <c r="C86" t="s">
        <v>241</v>
      </c>
    </row>
    <row r="87" spans="1:3" x14ac:dyDescent="0.45">
      <c r="A87" s="7">
        <v>46266</v>
      </c>
      <c r="B87" s="1" t="s">
        <v>221</v>
      </c>
      <c r="C87" t="s">
        <v>241</v>
      </c>
    </row>
    <row r="88" spans="1:3" x14ac:dyDescent="0.45">
      <c r="A88" s="7">
        <v>46296</v>
      </c>
      <c r="B88" s="1" t="s">
        <v>221</v>
      </c>
      <c r="C88" t="s">
        <v>241</v>
      </c>
    </row>
    <row r="89" spans="1:3" x14ac:dyDescent="0.45">
      <c r="A89" s="7">
        <v>46327</v>
      </c>
      <c r="B89" s="1" t="s">
        <v>221</v>
      </c>
      <c r="C89" t="s">
        <v>241</v>
      </c>
    </row>
    <row r="90" spans="1:3" x14ac:dyDescent="0.45">
      <c r="A90" s="7">
        <v>46357</v>
      </c>
      <c r="B90" s="1" t="s">
        <v>221</v>
      </c>
      <c r="C90" t="s">
        <v>241</v>
      </c>
    </row>
    <row r="91" spans="1:3" x14ac:dyDescent="0.45">
      <c r="A91" s="7">
        <v>46388</v>
      </c>
      <c r="B91" s="1" t="s">
        <v>221</v>
      </c>
      <c r="C91" t="s">
        <v>241</v>
      </c>
    </row>
    <row r="92" spans="1:3" x14ac:dyDescent="0.45">
      <c r="A92" s="7">
        <v>46419</v>
      </c>
      <c r="B92" s="1" t="s">
        <v>221</v>
      </c>
      <c r="C92" t="s">
        <v>241</v>
      </c>
    </row>
    <row r="93" spans="1:3" x14ac:dyDescent="0.45">
      <c r="A93" s="7">
        <v>46447</v>
      </c>
      <c r="B93" s="1" t="s">
        <v>221</v>
      </c>
      <c r="C93" t="s">
        <v>241</v>
      </c>
    </row>
    <row r="94" spans="1:3" x14ac:dyDescent="0.45">
      <c r="A94" s="7">
        <v>46478</v>
      </c>
      <c r="B94" s="1" t="s">
        <v>221</v>
      </c>
      <c r="C94" t="s">
        <v>241</v>
      </c>
    </row>
    <row r="95" spans="1:3" x14ac:dyDescent="0.45">
      <c r="A95" s="7">
        <v>46508</v>
      </c>
      <c r="B95" s="1" t="s">
        <v>221</v>
      </c>
      <c r="C95" t="s">
        <v>241</v>
      </c>
    </row>
    <row r="96" spans="1:3" x14ac:dyDescent="0.45">
      <c r="A96" s="7">
        <v>46539</v>
      </c>
      <c r="B96" s="1" t="s">
        <v>221</v>
      </c>
      <c r="C96" t="s">
        <v>241</v>
      </c>
    </row>
    <row r="97" spans="1:3" x14ac:dyDescent="0.45">
      <c r="A97" s="7">
        <v>46569</v>
      </c>
      <c r="B97" s="1" t="s">
        <v>221</v>
      </c>
      <c r="C97" t="s">
        <v>241</v>
      </c>
    </row>
    <row r="98" spans="1:3" x14ac:dyDescent="0.45">
      <c r="A98" s="7">
        <v>46600</v>
      </c>
      <c r="B98" s="1" t="s">
        <v>221</v>
      </c>
      <c r="C98" t="s">
        <v>241</v>
      </c>
    </row>
    <row r="99" spans="1:3" x14ac:dyDescent="0.45">
      <c r="A99" s="7">
        <v>46631</v>
      </c>
      <c r="B99" s="1" t="s">
        <v>221</v>
      </c>
      <c r="C99" t="s">
        <v>241</v>
      </c>
    </row>
    <row r="100" spans="1:3" x14ac:dyDescent="0.45">
      <c r="A100" s="7">
        <v>46661</v>
      </c>
      <c r="B100" s="1" t="s">
        <v>221</v>
      </c>
      <c r="C100" t="s">
        <v>241</v>
      </c>
    </row>
    <row r="101" spans="1:3" x14ac:dyDescent="0.45">
      <c r="A101" s="7">
        <v>46692</v>
      </c>
      <c r="B101" s="1" t="s">
        <v>221</v>
      </c>
      <c r="C101" t="s">
        <v>241</v>
      </c>
    </row>
    <row r="102" spans="1:3" x14ac:dyDescent="0.45">
      <c r="A102" s="7">
        <v>46722</v>
      </c>
      <c r="B102" s="1" t="s">
        <v>221</v>
      </c>
      <c r="C102" t="s">
        <v>241</v>
      </c>
    </row>
    <row r="103" spans="1:3" x14ac:dyDescent="0.45">
      <c r="A103" s="7">
        <v>46753</v>
      </c>
      <c r="B103" s="1" t="s">
        <v>221</v>
      </c>
      <c r="C103" t="s">
        <v>241</v>
      </c>
    </row>
    <row r="104" spans="1:3" x14ac:dyDescent="0.45">
      <c r="A104" s="7">
        <v>46784</v>
      </c>
      <c r="B104" s="1" t="s">
        <v>221</v>
      </c>
      <c r="C104" t="s">
        <v>241</v>
      </c>
    </row>
    <row r="105" spans="1:3" x14ac:dyDescent="0.45">
      <c r="A105" s="7">
        <v>46813</v>
      </c>
      <c r="B105" s="1" t="s">
        <v>221</v>
      </c>
      <c r="C105" t="s">
        <v>241</v>
      </c>
    </row>
    <row r="106" spans="1:3" x14ac:dyDescent="0.45">
      <c r="A106" s="7">
        <v>46844</v>
      </c>
      <c r="B106" s="1" t="s">
        <v>221</v>
      </c>
      <c r="C106" t="s">
        <v>241</v>
      </c>
    </row>
    <row r="107" spans="1:3" x14ac:dyDescent="0.45">
      <c r="A107" s="7">
        <v>46874</v>
      </c>
      <c r="B107" s="1" t="s">
        <v>221</v>
      </c>
      <c r="C107" t="s">
        <v>241</v>
      </c>
    </row>
    <row r="108" spans="1:3" x14ac:dyDescent="0.45">
      <c r="A108" s="7">
        <v>46905</v>
      </c>
      <c r="B108" s="1" t="s">
        <v>221</v>
      </c>
      <c r="C108" t="s">
        <v>241</v>
      </c>
    </row>
    <row r="109" spans="1:3" x14ac:dyDescent="0.45">
      <c r="A109" s="7">
        <v>46935</v>
      </c>
      <c r="B109" s="1" t="s">
        <v>221</v>
      </c>
      <c r="C109" t="s">
        <v>241</v>
      </c>
    </row>
    <row r="110" spans="1:3" x14ac:dyDescent="0.45">
      <c r="A110" s="7">
        <v>46966</v>
      </c>
      <c r="B110" s="1" t="s">
        <v>221</v>
      </c>
      <c r="C110" t="s">
        <v>241</v>
      </c>
    </row>
    <row r="111" spans="1:3" x14ac:dyDescent="0.45">
      <c r="A111" s="7">
        <v>46997</v>
      </c>
      <c r="B111" s="1" t="s">
        <v>221</v>
      </c>
      <c r="C111" t="s">
        <v>241</v>
      </c>
    </row>
    <row r="112" spans="1:3" x14ac:dyDescent="0.45">
      <c r="A112" s="7">
        <v>47027</v>
      </c>
      <c r="B112" s="1" t="s">
        <v>221</v>
      </c>
      <c r="C112" t="s">
        <v>241</v>
      </c>
    </row>
    <row r="113" spans="1:3" x14ac:dyDescent="0.45">
      <c r="A113" s="7">
        <v>47058</v>
      </c>
      <c r="B113" s="1" t="s">
        <v>221</v>
      </c>
      <c r="C113" t="s">
        <v>241</v>
      </c>
    </row>
    <row r="114" spans="1:3" x14ac:dyDescent="0.45">
      <c r="A114" s="7">
        <v>47088</v>
      </c>
      <c r="B114" s="1" t="s">
        <v>221</v>
      </c>
      <c r="C114" t="s">
        <v>241</v>
      </c>
    </row>
    <row r="115" spans="1:3" x14ac:dyDescent="0.45">
      <c r="A115" s="7">
        <v>47119</v>
      </c>
      <c r="B115" s="1" t="s">
        <v>221</v>
      </c>
      <c r="C115" t="s">
        <v>241</v>
      </c>
    </row>
    <row r="116" spans="1:3" x14ac:dyDescent="0.45">
      <c r="A116" s="7">
        <v>47150</v>
      </c>
      <c r="B116" s="1" t="s">
        <v>221</v>
      </c>
      <c r="C116" t="s">
        <v>241</v>
      </c>
    </row>
    <row r="117" spans="1:3" x14ac:dyDescent="0.45">
      <c r="A117" s="7">
        <v>47178</v>
      </c>
      <c r="B117" s="1" t="s">
        <v>221</v>
      </c>
      <c r="C117" t="s">
        <v>241</v>
      </c>
    </row>
    <row r="118" spans="1:3" x14ac:dyDescent="0.45">
      <c r="A118" s="7">
        <v>47209</v>
      </c>
      <c r="B118" s="1" t="s">
        <v>221</v>
      </c>
      <c r="C118" t="s">
        <v>241</v>
      </c>
    </row>
    <row r="119" spans="1:3" x14ac:dyDescent="0.45">
      <c r="A119" s="7">
        <v>47239</v>
      </c>
      <c r="B119" s="1" t="s">
        <v>221</v>
      </c>
      <c r="C119" t="s">
        <v>241</v>
      </c>
    </row>
    <row r="120" spans="1:3" x14ac:dyDescent="0.45">
      <c r="A120" s="7">
        <v>47270</v>
      </c>
      <c r="B120" s="1" t="s">
        <v>221</v>
      </c>
      <c r="C120" t="s">
        <v>241</v>
      </c>
    </row>
    <row r="121" spans="1:3" x14ac:dyDescent="0.45">
      <c r="A121" s="7">
        <v>47300</v>
      </c>
      <c r="B121" s="1" t="s">
        <v>221</v>
      </c>
      <c r="C121" t="s">
        <v>241</v>
      </c>
    </row>
  </sheetData>
  <pageMargins left="0.7" right="0.7" top="0.75" bottom="0.75" header="0.3" footer="0.3"/>
  <pageSetup paperSize="275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Pagos</vt:lpstr>
      <vt:lpstr>definicion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Johny Bravo</dc:creator>
  <cp:lastModifiedBy>Johny Bravo</cp:lastModifiedBy>
  <dcterms:created xsi:type="dcterms:W3CDTF">2026-02-11T19:58:37Z</dcterms:created>
  <dcterms:modified xsi:type="dcterms:W3CDTF">2026-02-12T10:36:36Z</dcterms:modified>
</cp:coreProperties>
</file>